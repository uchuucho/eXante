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  <sheet name="Sheet3" sheetId="2" state="visible" r:id="rId4"/>
    <sheet name="Sheet4" sheetId="3" state="visible" r:id="rId5"/>
    <sheet name="Sheet5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b val="true"/>
            <sz val="11"/>
            <color theme="1"/>
            <rFont val="Aptos Narrow"/>
            <family val="2"/>
          </rPr>
          <t xml:space="preserve">Lithium, 99%, Battery Grade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b val="true"/>
            <sz val="11"/>
            <color theme="1"/>
            <rFont val="Aptos Narrow"/>
            <family val="2"/>
          </rPr>
          <t xml:space="preserve">Manganese, USD per metric tonne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b val="true"/>
            <sz val="11"/>
            <color theme="1"/>
            <rFont val="Aptos Narrow"/>
            <family val="2"/>
          </rPr>
          <t xml:space="preserve">Nickel, USD per metric tonne</t>
        </r>
      </text>
    </comment>
  </commentList>
</comments>
</file>

<file path=xl/sharedStrings.xml><?xml version="1.0" encoding="utf-8"?>
<sst xmlns="http://schemas.openxmlformats.org/spreadsheetml/2006/main" count="97" uniqueCount="63">
  <si>
    <t xml:space="preserve">Date</t>
  </si>
  <si>
    <t xml:space="preserve">Cobalt</t>
  </si>
  <si>
    <t xml:space="preserve">G_drc0</t>
  </si>
  <si>
    <t xml:space="preserve">G_ethics</t>
  </si>
  <si>
    <t xml:space="preserve">G_covid</t>
  </si>
  <si>
    <t xml:space="preserve">G_drc_now</t>
  </si>
  <si>
    <t xml:space="preserve">G_africa</t>
  </si>
  <si>
    <t xml:space="preserve">G</t>
  </si>
  <si>
    <t xml:space="preserve">P_oecd</t>
  </si>
  <si>
    <t xml:space="preserve">P_esg</t>
  </si>
  <si>
    <t xml:space="preserve">P_usira</t>
  </si>
  <si>
    <t xml:space="preserve">P_eu</t>
  </si>
  <si>
    <t xml:space="preserve">P_drc</t>
  </si>
  <si>
    <t xml:space="preserve">P</t>
  </si>
  <si>
    <t xml:space="preserve">M_demand</t>
  </si>
  <si>
    <t xml:space="preserve">M_artisan</t>
  </si>
  <si>
    <t xml:space="preserve">M_shift</t>
  </si>
  <si>
    <t xml:space="preserve">M_price</t>
  </si>
  <si>
    <t xml:space="preserve">M_recycle</t>
  </si>
  <si>
    <t xml:space="preserve">M</t>
  </si>
  <si>
    <t xml:space="preserve">GP</t>
  </si>
  <si>
    <t xml:space="preserve">GM</t>
  </si>
  <si>
    <t xml:space="preserve">PM</t>
  </si>
  <si>
    <t xml:space="preserve">GPM</t>
  </si>
  <si>
    <t xml:space="preserve">Lithium</t>
  </si>
  <si>
    <t xml:space="preserve">G_uscin0</t>
  </si>
  <si>
    <t xml:space="preserve">G_ru_ukr</t>
  </si>
  <si>
    <t xml:space="preserve">G_redsea</t>
  </si>
  <si>
    <t xml:space="preserve">G_uscin1</t>
  </si>
  <si>
    <t xml:space="preserve">P_cinEV</t>
  </si>
  <si>
    <t xml:space="preserve">P_eu_green</t>
  </si>
  <si>
    <t xml:space="preserve">P_us_inf</t>
  </si>
  <si>
    <t xml:space="preserve">P_eu_raw</t>
  </si>
  <si>
    <t xml:space="preserve">P_cin_ban</t>
  </si>
  <si>
    <t xml:space="preserve">M_cina</t>
  </si>
  <si>
    <t xml:space="preserve">M_supply</t>
  </si>
  <si>
    <t xml:space="preserve">M_cycle</t>
  </si>
  <si>
    <t xml:space="preserve">Manganese</t>
  </si>
  <si>
    <t xml:space="preserve">G_uscin</t>
  </si>
  <si>
    <t xml:space="preserve">G_ship</t>
  </si>
  <si>
    <t xml:space="preserve">G_cin_afr</t>
  </si>
  <si>
    <t xml:space="preserve">P_cina_inf</t>
  </si>
  <si>
    <t xml:space="preserve">P_cin_env</t>
  </si>
  <si>
    <t xml:space="preserve">P_euC</t>
  </si>
  <si>
    <t xml:space="preserve">P_eu_us</t>
  </si>
  <si>
    <t xml:space="preserve">P_sa_ex</t>
  </si>
  <si>
    <t xml:space="preserve">M_cin</t>
  </si>
  <si>
    <t xml:space="preserve">M_steel</t>
  </si>
  <si>
    <t xml:space="preserve">M_covid</t>
  </si>
  <si>
    <t xml:space="preserve">M_postCV</t>
  </si>
  <si>
    <t xml:space="preserve">M_sa_elec</t>
  </si>
  <si>
    <t xml:space="preserve">M_battery</t>
  </si>
  <si>
    <t xml:space="preserve">Nickel</t>
  </si>
  <si>
    <t xml:space="preserve">G_ind</t>
  </si>
  <si>
    <t xml:space="preserve">G_red_sea</t>
  </si>
  <si>
    <t xml:space="preserve">G_cin_ind</t>
  </si>
  <si>
    <t xml:space="preserve">P_ind_ban</t>
  </si>
  <si>
    <t xml:space="preserve">P_restr</t>
  </si>
  <si>
    <t xml:space="preserve">P_us_ira</t>
  </si>
  <si>
    <t xml:space="preserve">P_ind_qu</t>
  </si>
  <si>
    <t xml:space="preserve">M_ind_cap</t>
  </si>
  <si>
    <t xml:space="preserve">M_lme</t>
  </si>
  <si>
    <t xml:space="preserve">M_ind_supp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</si>
</sst>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0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T113"/>
  <sheetViews>
    <sheetView showFormulas="false" showGridLines="true" showRowColHeaders="true" showZeros="true" rightToLeft="false" tabSelected="true" showOutlineSymbols="true" defaultGridColor="true" view="normal" topLeftCell="B1" colorId="64" zoomScale="110" zoomScaleNormal="110" zoomScalePageLayoutView="100" workbookViewId="0">
      <selection pane="topLeft" activeCell="B1" activeCellId="0" sqref="B1"/>
    </sheetView>
  </sheetViews>
  <sheetFormatPr defaultColWidth="8.6171875" defaultRowHeight="13.8" zeroHeight="false" outlineLevelRow="0" outlineLevelCol="0"/>
  <cols>
    <col collapsed="false" customWidth="true" hidden="false" outlineLevel="0" max="1" min="1" style="1" width="14.91"/>
    <col collapsed="false" customWidth="true" hidden="false" outlineLevel="0" max="2" min="2" style="2" width="9.36"/>
    <col collapsed="false" customWidth="true" hidden="false" outlineLevel="0" max="19" min="3" style="2" width="12.63"/>
    <col collapsed="false" customWidth="true" hidden="false" outlineLevel="0" max="20" min="20" style="2" width="11"/>
    <col collapsed="false" customWidth="true" hidden="false" outlineLevel="0" max="36" min="21" style="2" width="10"/>
    <col collapsed="false" customWidth="true" hidden="false" outlineLevel="0" max="54" min="37" style="2" width="10.82"/>
    <col collapsed="false" customWidth="true" hidden="false" outlineLevel="0" max="63" min="59" style="2" width="8.73"/>
    <col collapsed="false" customWidth="true" hidden="false" outlineLevel="0" max="68" min="64" style="3" width="18"/>
  </cols>
  <sheetData>
    <row r="1" s="6" customFormat="true" ht="39.5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3"/>
      <c r="BR1" s="3"/>
      <c r="BS1" s="3"/>
      <c r="BT1" s="3"/>
    </row>
    <row r="2" customFormat="false" ht="13.8" hidden="false" customHeight="false" outlineLevel="0" collapsed="false">
      <c r="A2" s="1" t="n">
        <v>42736</v>
      </c>
      <c r="B2" s="2" t="n">
        <v>34720.3809523809</v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0</v>
      </c>
      <c r="H2" s="7" t="n">
        <f aca="false">0.3*C2 +0.25*F2+0.2*D2+0.15*E2+0.1*G2</f>
        <v>0.3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f aca="false">0.3*K2+0.25*L2+0.2*I2+0.15*J2+0.1*M2</f>
        <v>0</v>
      </c>
      <c r="O2" s="2" t="n">
        <v>1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f aca="false">0.35*O2+0.25*Q2+0.15*P2+0.15*S2+0.1*R2</f>
        <v>0.35</v>
      </c>
      <c r="U2" s="2" t="n">
        <f aca="false">H2*N2</f>
        <v>0</v>
      </c>
      <c r="V2" s="2" t="n">
        <f aca="false">H2*T2</f>
        <v>0.105</v>
      </c>
      <c r="W2" s="2" t="n">
        <f aca="false">N2*T2</f>
        <v>0</v>
      </c>
      <c r="X2" s="2" t="n">
        <f aca="false">H2*N2*T2</f>
        <v>0</v>
      </c>
      <c r="BC2" s="2"/>
      <c r="BD2" s="2"/>
      <c r="BE2" s="2"/>
      <c r="BF2" s="2"/>
      <c r="BL2" s="2"/>
      <c r="BM2" s="2"/>
      <c r="BN2" s="2"/>
      <c r="BO2" s="2"/>
      <c r="BP2" s="2"/>
    </row>
    <row r="3" customFormat="false" ht="13.8" hidden="false" customHeight="false" outlineLevel="0" collapsed="false">
      <c r="A3" s="1" t="n">
        <v>42767</v>
      </c>
      <c r="B3" s="2" t="n">
        <v>43005</v>
      </c>
      <c r="C3" s="2" t="n">
        <v>1</v>
      </c>
      <c r="D3" s="2" t="n">
        <v>0</v>
      </c>
      <c r="E3" s="2" t="n">
        <v>0</v>
      </c>
      <c r="F3" s="2" t="n">
        <v>0</v>
      </c>
      <c r="G3" s="2" t="n">
        <v>0</v>
      </c>
      <c r="H3" s="7" t="n">
        <f aca="false">0.3*C3 +0.25*F3+0.2*D3+0.15*E3+0.1*G3</f>
        <v>0.3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f aca="false">0.3*K3+0.25*L3+0.2*I3+0.15*J3+0.1*M3</f>
        <v>0</v>
      </c>
      <c r="O3" s="2" t="n">
        <v>1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f aca="false">0.35*O3+0.25*Q3+0.15*P3+0.15*S3+0.1*R3</f>
        <v>0.35</v>
      </c>
      <c r="U3" s="2" t="n">
        <f aca="false">H3*N3</f>
        <v>0</v>
      </c>
      <c r="V3" s="2" t="n">
        <f aca="false">H3*T3</f>
        <v>0.105</v>
      </c>
      <c r="W3" s="2" t="n">
        <f aca="false">N3*T3</f>
        <v>0</v>
      </c>
      <c r="X3" s="2" t="n">
        <f aca="false">H3*N3*T3</f>
        <v>0</v>
      </c>
      <c r="BC3" s="2"/>
      <c r="BD3" s="2"/>
      <c r="BE3" s="2"/>
      <c r="BF3" s="2"/>
      <c r="BL3" s="2"/>
      <c r="BM3" s="2"/>
      <c r="BN3" s="2"/>
      <c r="BO3" s="2"/>
      <c r="BP3" s="2"/>
    </row>
    <row r="4" customFormat="false" ht="13.8" hidden="false" customHeight="false" outlineLevel="0" collapsed="false">
      <c r="A4" s="1" t="n">
        <v>42795</v>
      </c>
      <c r="B4" s="2" t="n">
        <v>52765.2173913043</v>
      </c>
      <c r="C4" s="2" t="n">
        <v>1</v>
      </c>
      <c r="D4" s="2" t="n">
        <v>0</v>
      </c>
      <c r="E4" s="2" t="n">
        <v>0</v>
      </c>
      <c r="F4" s="2" t="n">
        <v>0</v>
      </c>
      <c r="G4" s="2" t="n">
        <v>0</v>
      </c>
      <c r="H4" s="7" t="n">
        <f aca="false">0.3*C4 +0.25*F4+0.2*D4+0.15*E4+0.1*G4</f>
        <v>0.3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f aca="false">0.3*K4+0.25*L4+0.2*I4+0.15*J4+0.1*M4</f>
        <v>0</v>
      </c>
      <c r="O4" s="2" t="n">
        <v>1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f aca="false">0.35*O4+0.25*Q4+0.15*P4+0.15*S4+0.1*R4</f>
        <v>0.35</v>
      </c>
      <c r="U4" s="2" t="n">
        <f aca="false">H4*N4</f>
        <v>0</v>
      </c>
      <c r="V4" s="2" t="n">
        <f aca="false">H4*T4</f>
        <v>0.105</v>
      </c>
      <c r="W4" s="2" t="n">
        <f aca="false">N4*T4</f>
        <v>0</v>
      </c>
      <c r="X4" s="2" t="n">
        <f aca="false">H4*N4*T4</f>
        <v>0</v>
      </c>
      <c r="BC4" s="2"/>
      <c r="BD4" s="2"/>
      <c r="BE4" s="2"/>
      <c r="BF4" s="2"/>
      <c r="BL4" s="2"/>
      <c r="BM4" s="2"/>
      <c r="BN4" s="2"/>
      <c r="BO4" s="2"/>
      <c r="BP4" s="2"/>
    </row>
    <row r="5" customFormat="false" ht="13.8" hidden="false" customHeight="false" outlineLevel="0" collapsed="false">
      <c r="A5" s="1" t="n">
        <v>42826</v>
      </c>
      <c r="B5" s="2" t="n">
        <v>55305.5555555555</v>
      </c>
      <c r="C5" s="2" t="n">
        <v>1</v>
      </c>
      <c r="D5" s="2" t="n">
        <v>0</v>
      </c>
      <c r="E5" s="2" t="n">
        <v>0</v>
      </c>
      <c r="F5" s="2" t="n">
        <v>0</v>
      </c>
      <c r="G5" s="2" t="n">
        <v>0</v>
      </c>
      <c r="H5" s="7" t="n">
        <f aca="false">0.3*C5 +0.25*F5+0.2*D5+0.15*E5+0.1*G5</f>
        <v>0.3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f aca="false">0.3*K5+0.25*L5+0.2*I5+0.15*J5+0.1*M5</f>
        <v>0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f aca="false">0.35*O5+0.25*Q5+0.15*P5+0.15*S5+0.1*R5</f>
        <v>0.35</v>
      </c>
      <c r="U5" s="2" t="n">
        <f aca="false">H5*N5</f>
        <v>0</v>
      </c>
      <c r="V5" s="2" t="n">
        <f aca="false">H5*T5</f>
        <v>0.105</v>
      </c>
      <c r="W5" s="2" t="n">
        <f aca="false">N5*T5</f>
        <v>0</v>
      </c>
      <c r="X5" s="2" t="n">
        <f aca="false">H5*N5*T5</f>
        <v>0</v>
      </c>
      <c r="BC5" s="2"/>
      <c r="BD5" s="2"/>
      <c r="BE5" s="2"/>
      <c r="BF5" s="2"/>
      <c r="BL5" s="2"/>
      <c r="BM5" s="2"/>
      <c r="BN5" s="2"/>
      <c r="BO5" s="2"/>
      <c r="BP5" s="2"/>
    </row>
    <row r="6" customFormat="false" ht="13.8" hidden="false" customHeight="false" outlineLevel="0" collapsed="false">
      <c r="A6" s="1" t="n">
        <v>42856</v>
      </c>
      <c r="B6" s="2" t="n">
        <v>54941.9404761904</v>
      </c>
      <c r="C6" s="2" t="n">
        <v>1</v>
      </c>
      <c r="D6" s="2" t="n">
        <v>0</v>
      </c>
      <c r="E6" s="2" t="n">
        <v>0</v>
      </c>
      <c r="F6" s="2" t="n">
        <v>0</v>
      </c>
      <c r="G6" s="2" t="n">
        <v>0</v>
      </c>
      <c r="H6" s="7" t="n">
        <f aca="false">0.3*C6 +0.25*F6+0.2*D6+0.15*E6+0.1*G6</f>
        <v>0.3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f aca="false">0.3*K6+0.25*L6+0.2*I6+0.15*J6+0.1*M6</f>
        <v>0</v>
      </c>
      <c r="O6" s="2" t="n">
        <v>1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f aca="false">0.35*O6+0.25*Q6+0.15*P6+0.15*S6+0.1*R6</f>
        <v>0.35</v>
      </c>
      <c r="U6" s="2" t="n">
        <f aca="false">H6*N6</f>
        <v>0</v>
      </c>
      <c r="V6" s="2" t="n">
        <f aca="false">H6*T6</f>
        <v>0.105</v>
      </c>
      <c r="W6" s="2" t="n">
        <f aca="false">N6*T6</f>
        <v>0</v>
      </c>
      <c r="X6" s="2" t="n">
        <f aca="false">H6*N6*T6</f>
        <v>0</v>
      </c>
      <c r="BC6" s="2"/>
      <c r="BD6" s="2"/>
      <c r="BE6" s="2"/>
      <c r="BF6" s="2"/>
      <c r="BL6" s="2"/>
      <c r="BM6" s="2"/>
      <c r="BN6" s="2"/>
      <c r="BO6" s="2"/>
      <c r="BP6" s="2"/>
    </row>
    <row r="7" customFormat="false" ht="13.8" hidden="false" customHeight="false" outlineLevel="0" collapsed="false">
      <c r="A7" s="1" t="n">
        <v>42887</v>
      </c>
      <c r="B7" s="2" t="n">
        <v>57449.4545454545</v>
      </c>
      <c r="C7" s="2" t="n">
        <v>1</v>
      </c>
      <c r="D7" s="2" t="n">
        <v>0</v>
      </c>
      <c r="E7" s="2" t="n">
        <v>0</v>
      </c>
      <c r="F7" s="2" t="n">
        <v>0</v>
      </c>
      <c r="G7" s="2" t="n">
        <v>0</v>
      </c>
      <c r="H7" s="7" t="n">
        <f aca="false">0.3*C7 +0.25*F7+0.2*D7+0.15*E7+0.1*G7</f>
        <v>0.3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f aca="false">0.3*K7+0.25*L7+0.2*I7+0.15*J7+0.1*M7</f>
        <v>0</v>
      </c>
      <c r="O7" s="2" t="n">
        <v>1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f aca="false">0.35*O7+0.25*Q7+0.15*P7+0.15*S7+0.1*R7</f>
        <v>0.35</v>
      </c>
      <c r="U7" s="2" t="n">
        <f aca="false">H7*N7</f>
        <v>0</v>
      </c>
      <c r="V7" s="2" t="n">
        <f aca="false">H7*T7</f>
        <v>0.105</v>
      </c>
      <c r="W7" s="2" t="n">
        <f aca="false">N7*T7</f>
        <v>0</v>
      </c>
      <c r="X7" s="2" t="n">
        <f aca="false">H7*N7*T7</f>
        <v>0</v>
      </c>
      <c r="BC7" s="2"/>
      <c r="BD7" s="2"/>
      <c r="BE7" s="2"/>
      <c r="BF7" s="2"/>
      <c r="BL7" s="2"/>
      <c r="BM7" s="2"/>
      <c r="BN7" s="2"/>
      <c r="BO7" s="2"/>
      <c r="BP7" s="2"/>
    </row>
    <row r="8" customFormat="false" ht="13.8" hidden="false" customHeight="false" outlineLevel="0" collapsed="false">
      <c r="A8" s="1" t="n">
        <v>42917</v>
      </c>
      <c r="B8" s="2" t="n">
        <v>58548.9047619047</v>
      </c>
      <c r="C8" s="2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7" t="n">
        <f aca="false">0.3*C8 +0.25*F8+0.2*D8+0.15*E8+0.1*G8</f>
        <v>0.3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f aca="false">0.3*K8+0.25*L8+0.2*I8+0.15*J8+0.1*M8</f>
        <v>0</v>
      </c>
      <c r="O8" s="2" t="n">
        <v>1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f aca="false">0.35*O8+0.25*Q8+0.15*P8+0.15*S8+0.1*R8</f>
        <v>0.35</v>
      </c>
      <c r="U8" s="2" t="n">
        <f aca="false">H8*N8</f>
        <v>0</v>
      </c>
      <c r="V8" s="2" t="n">
        <f aca="false">H8*T8</f>
        <v>0.105</v>
      </c>
      <c r="W8" s="2" t="n">
        <f aca="false">N8*T8</f>
        <v>0</v>
      </c>
      <c r="X8" s="2" t="n">
        <f aca="false">H8*N8*T8</f>
        <v>0</v>
      </c>
      <c r="BC8" s="2"/>
      <c r="BD8" s="2"/>
      <c r="BE8" s="2"/>
      <c r="BF8" s="2"/>
      <c r="BL8" s="2"/>
      <c r="BM8" s="2"/>
      <c r="BN8" s="2"/>
      <c r="BO8" s="2"/>
      <c r="BP8" s="2"/>
    </row>
    <row r="9" customFormat="false" ht="13.8" hidden="false" customHeight="false" outlineLevel="0" collapsed="false">
      <c r="A9" s="1" t="n">
        <v>42948</v>
      </c>
      <c r="B9" s="2" t="n">
        <v>58465.1363636363</v>
      </c>
      <c r="C9" s="2" t="n">
        <v>1</v>
      </c>
      <c r="D9" s="2" t="n">
        <v>0</v>
      </c>
      <c r="E9" s="2" t="n">
        <v>0</v>
      </c>
      <c r="F9" s="2" t="n">
        <v>0</v>
      </c>
      <c r="G9" s="2" t="n">
        <v>0</v>
      </c>
      <c r="H9" s="7" t="n">
        <f aca="false">0.3*C9 +0.25*F9+0.2*D9+0.15*E9+0.1*G9</f>
        <v>0.3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f aca="false">0.3*K9+0.25*L9+0.2*I9+0.15*J9+0.1*M9</f>
        <v>0</v>
      </c>
      <c r="O9" s="2" t="n">
        <v>1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f aca="false">0.35*O9+0.25*Q9+0.15*P9+0.15*S9+0.1*R9</f>
        <v>0.35</v>
      </c>
      <c r="U9" s="2" t="n">
        <f aca="false">H9*N9</f>
        <v>0</v>
      </c>
      <c r="V9" s="2" t="n">
        <f aca="false">H9*T9</f>
        <v>0.105</v>
      </c>
      <c r="W9" s="2" t="n">
        <f aca="false">N9*T9</f>
        <v>0</v>
      </c>
      <c r="X9" s="2" t="n">
        <f aca="false">H9*N9*T9</f>
        <v>0</v>
      </c>
      <c r="BC9" s="2"/>
      <c r="BD9" s="2"/>
      <c r="BE9" s="2"/>
      <c r="BF9" s="2"/>
      <c r="BL9" s="2"/>
      <c r="BM9" s="2"/>
      <c r="BN9" s="2"/>
      <c r="BO9" s="2"/>
      <c r="BP9" s="2"/>
    </row>
    <row r="10" customFormat="false" ht="13.8" hidden="false" customHeight="false" outlineLevel="0" collapsed="false">
      <c r="A10" s="1" t="n">
        <v>42979</v>
      </c>
      <c r="B10" s="2" t="n">
        <v>60128.5</v>
      </c>
      <c r="C10" s="2" t="n">
        <v>1</v>
      </c>
      <c r="D10" s="2" t="n">
        <v>0</v>
      </c>
      <c r="E10" s="2" t="n">
        <v>0</v>
      </c>
      <c r="F10" s="2" t="n">
        <v>0</v>
      </c>
      <c r="G10" s="2" t="n">
        <v>0</v>
      </c>
      <c r="H10" s="7" t="n">
        <f aca="false">0.3*C10 +0.25*F10+0.2*D10+0.15*E10+0.1*G10</f>
        <v>0.3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f aca="false">0.3*K10+0.25*L10+0.2*I10+0.15*J10+0.1*M10</f>
        <v>0</v>
      </c>
      <c r="O10" s="2" t="n">
        <v>1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f aca="false">0.35*O10+0.25*Q10+0.15*P10+0.15*S10+0.1*R10</f>
        <v>0.35</v>
      </c>
      <c r="U10" s="2" t="n">
        <f aca="false">H10*N10</f>
        <v>0</v>
      </c>
      <c r="V10" s="2" t="n">
        <f aca="false">H10*T10</f>
        <v>0.105</v>
      </c>
      <c r="W10" s="2" t="n">
        <f aca="false">N10*T10</f>
        <v>0</v>
      </c>
      <c r="X10" s="2" t="n">
        <f aca="false">H10*N10*T10</f>
        <v>0</v>
      </c>
      <c r="BC10" s="2"/>
      <c r="BD10" s="2"/>
      <c r="BE10" s="2"/>
      <c r="BF10" s="2"/>
      <c r="BL10" s="2"/>
      <c r="BM10" s="2"/>
      <c r="BN10" s="2"/>
      <c r="BO10" s="2"/>
      <c r="BP10" s="2"/>
    </row>
    <row r="11" customFormat="false" ht="13.8" hidden="false" customHeight="false" outlineLevel="0" collapsed="false">
      <c r="A11" s="1" t="n">
        <v>43009</v>
      </c>
      <c r="B11" s="2" t="n">
        <v>59905.8636363636</v>
      </c>
      <c r="C11" s="2" t="n">
        <v>1</v>
      </c>
      <c r="D11" s="2" t="n">
        <v>0</v>
      </c>
      <c r="E11" s="2" t="n">
        <v>0</v>
      </c>
      <c r="F11" s="2" t="n">
        <v>0</v>
      </c>
      <c r="G11" s="2" t="n">
        <v>0</v>
      </c>
      <c r="H11" s="7" t="n">
        <f aca="false">0.3*C11 +0.25*F11+0.2*D11+0.15*E11+0.1*G11</f>
        <v>0.3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f aca="false">0.3*K11+0.25*L11+0.2*I11+0.15*J11+0.1*M11</f>
        <v>0</v>
      </c>
      <c r="O11" s="2" t="n">
        <v>1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f aca="false">0.35*O11+0.25*Q11+0.15*P11+0.15*S11+0.1*R11</f>
        <v>0.35</v>
      </c>
      <c r="U11" s="2" t="n">
        <f aca="false">H11*N11</f>
        <v>0</v>
      </c>
      <c r="V11" s="2" t="n">
        <f aca="false">H11*T11</f>
        <v>0.105</v>
      </c>
      <c r="W11" s="2" t="n">
        <f aca="false">N11*T11</f>
        <v>0</v>
      </c>
      <c r="X11" s="2" t="n">
        <f aca="false">H11*N11*T11</f>
        <v>0</v>
      </c>
      <c r="BC11" s="2"/>
      <c r="BD11" s="2"/>
      <c r="BE11" s="2"/>
      <c r="BF11" s="2"/>
      <c r="BL11" s="2"/>
      <c r="BM11" s="2"/>
      <c r="BN11" s="2"/>
      <c r="BO11" s="2"/>
      <c r="BP11" s="2"/>
    </row>
    <row r="12" customFormat="false" ht="13.8" hidden="false" customHeight="false" outlineLevel="0" collapsed="false">
      <c r="A12" s="1" t="n">
        <v>43040</v>
      </c>
      <c r="B12" s="2" t="n">
        <v>62118.0454545454</v>
      </c>
      <c r="C12" s="2" t="n">
        <v>1</v>
      </c>
      <c r="D12" s="2" t="n">
        <v>0</v>
      </c>
      <c r="E12" s="2" t="n">
        <v>0</v>
      </c>
      <c r="F12" s="2" t="n">
        <v>0</v>
      </c>
      <c r="G12" s="2" t="n">
        <v>0</v>
      </c>
      <c r="H12" s="7" t="n">
        <f aca="false">0.3*C12 +0.25*F12+0.2*D12+0.15*E12+0.1*G12</f>
        <v>0.3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f aca="false">0.3*K12+0.25*L12+0.2*I12+0.15*J12+0.1*M12</f>
        <v>0</v>
      </c>
      <c r="O12" s="2" t="n">
        <v>1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f aca="false">0.35*O12+0.25*Q12+0.15*P12+0.15*S12+0.1*R12</f>
        <v>0.35</v>
      </c>
      <c r="U12" s="2" t="n">
        <f aca="false">H12*N12</f>
        <v>0</v>
      </c>
      <c r="V12" s="2" t="n">
        <f aca="false">H12*T12</f>
        <v>0.105</v>
      </c>
      <c r="W12" s="2" t="n">
        <f aca="false">N12*T12</f>
        <v>0</v>
      </c>
      <c r="X12" s="2" t="n">
        <f aca="false">H12*N12*T12</f>
        <v>0</v>
      </c>
      <c r="BC12" s="2"/>
      <c r="BD12" s="2"/>
      <c r="BE12" s="2"/>
      <c r="BF12" s="2"/>
      <c r="BL12" s="2"/>
      <c r="BM12" s="2"/>
      <c r="BN12" s="2"/>
      <c r="BO12" s="2"/>
      <c r="BP12" s="2"/>
    </row>
    <row r="13" customFormat="false" ht="13.8" hidden="false" customHeight="false" outlineLevel="0" collapsed="false">
      <c r="A13" s="1" t="n">
        <v>43070</v>
      </c>
      <c r="B13" s="2" t="n">
        <v>72632.0526315789</v>
      </c>
      <c r="C13" s="2" t="n">
        <v>1</v>
      </c>
      <c r="D13" s="2" t="n">
        <v>0</v>
      </c>
      <c r="E13" s="2" t="n">
        <v>0</v>
      </c>
      <c r="F13" s="2" t="n">
        <v>0</v>
      </c>
      <c r="G13" s="2" t="n">
        <v>0</v>
      </c>
      <c r="H13" s="7" t="n">
        <f aca="false">0.3*C13 +0.25*F13+0.2*D13+0.15*E13+0.1*G13</f>
        <v>0.3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f aca="false">0.3*K13+0.25*L13+0.2*I13+0.15*J13+0.1*M13</f>
        <v>0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f aca="false">0.35*O13+0.25*Q13+0.15*P13+0.15*S13+0.1*R13</f>
        <v>0.35</v>
      </c>
      <c r="U13" s="2" t="n">
        <f aca="false">H13*N13</f>
        <v>0</v>
      </c>
      <c r="V13" s="2" t="n">
        <f aca="false">H13*T13</f>
        <v>0.105</v>
      </c>
      <c r="W13" s="2" t="n">
        <f aca="false">N13*T13</f>
        <v>0</v>
      </c>
      <c r="X13" s="2" t="n">
        <f aca="false">H13*N13*T13</f>
        <v>0</v>
      </c>
      <c r="BC13" s="2"/>
      <c r="BD13" s="2"/>
      <c r="BE13" s="2"/>
      <c r="BF13" s="2"/>
      <c r="BL13" s="2"/>
      <c r="BM13" s="2"/>
      <c r="BN13" s="2"/>
      <c r="BO13" s="2"/>
      <c r="BP13" s="2"/>
    </row>
    <row r="14" customFormat="false" ht="13.8" hidden="false" customHeight="false" outlineLevel="0" collapsed="false">
      <c r="A14" s="1" t="n">
        <v>43101</v>
      </c>
      <c r="B14" s="2" t="n">
        <v>77293.5227272727</v>
      </c>
      <c r="C14" s="2" t="n">
        <v>1</v>
      </c>
      <c r="D14" s="2" t="n">
        <v>1</v>
      </c>
      <c r="E14" s="2" t="n">
        <v>0</v>
      </c>
      <c r="F14" s="2" t="n">
        <v>0</v>
      </c>
      <c r="G14" s="2" t="n">
        <v>0</v>
      </c>
      <c r="H14" s="7" t="n">
        <f aca="false">0.3*C14 +0.25*F14+0.2*D14+0.15*E14+0.1*G14</f>
        <v>0.5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f aca="false">0.3*K14+0.25*L14+0.2*I14+0.15*J14+0.1*M14</f>
        <v>0</v>
      </c>
      <c r="O14" s="2" t="n">
        <v>1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f aca="false">0.35*O14+0.25*Q14+0.15*P14+0.15*S14+0.1*R14</f>
        <v>0.35</v>
      </c>
      <c r="U14" s="2" t="n">
        <f aca="false">H14*N14</f>
        <v>0</v>
      </c>
      <c r="V14" s="2" t="n">
        <f aca="false">H14*T14</f>
        <v>0.175</v>
      </c>
      <c r="W14" s="2" t="n">
        <f aca="false">N14*T14</f>
        <v>0</v>
      </c>
      <c r="X14" s="2" t="n">
        <f aca="false">H14*N14*T14</f>
        <v>0</v>
      </c>
      <c r="BC14" s="2"/>
      <c r="BD14" s="2"/>
      <c r="BE14" s="2"/>
      <c r="BF14" s="2"/>
      <c r="BL14" s="2"/>
      <c r="BM14" s="2"/>
      <c r="BN14" s="2"/>
      <c r="BO14" s="2"/>
      <c r="BP14" s="2"/>
    </row>
    <row r="15" customFormat="false" ht="13.8" hidden="false" customHeight="false" outlineLevel="0" collapsed="false">
      <c r="A15" s="1" t="n">
        <v>43132</v>
      </c>
      <c r="B15" s="2" t="n">
        <v>80792.6</v>
      </c>
      <c r="C15" s="2" t="n">
        <v>1</v>
      </c>
      <c r="D15" s="2" t="n">
        <v>1</v>
      </c>
      <c r="E15" s="2" t="n">
        <v>0</v>
      </c>
      <c r="F15" s="2" t="n">
        <v>0</v>
      </c>
      <c r="G15" s="2" t="n">
        <v>0</v>
      </c>
      <c r="H15" s="7" t="n">
        <f aca="false">0.3*C15 +0.25*F15+0.2*D15+0.15*E15+0.1*G15</f>
        <v>0.5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f aca="false">0.3*K15+0.25*L15+0.2*I15+0.15*J15+0.1*M15</f>
        <v>0</v>
      </c>
      <c r="O15" s="2" t="n">
        <v>1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f aca="false">0.35*O15+0.25*Q15+0.15*P15+0.15*S15+0.1*R15</f>
        <v>0.35</v>
      </c>
      <c r="U15" s="2" t="n">
        <f aca="false">H15*N15</f>
        <v>0</v>
      </c>
      <c r="V15" s="2" t="n">
        <f aca="false">H15*T15</f>
        <v>0.175</v>
      </c>
      <c r="W15" s="2" t="n">
        <f aca="false">N15*T15</f>
        <v>0</v>
      </c>
      <c r="X15" s="2" t="n">
        <f aca="false">H15*N15*T15</f>
        <v>0</v>
      </c>
      <c r="BC15" s="2"/>
      <c r="BD15" s="2"/>
      <c r="BE15" s="2"/>
      <c r="BF15" s="2"/>
      <c r="BL15" s="2"/>
      <c r="BM15" s="2"/>
      <c r="BN15" s="2"/>
      <c r="BO15" s="2"/>
      <c r="BP15" s="2"/>
    </row>
    <row r="16" customFormat="false" ht="13.8" hidden="false" customHeight="false" outlineLevel="0" collapsed="false">
      <c r="A16" s="1" t="n">
        <v>43160</v>
      </c>
      <c r="B16" s="2" t="n">
        <v>87614.9047619047</v>
      </c>
      <c r="C16" s="2" t="n">
        <v>1</v>
      </c>
      <c r="D16" s="2" t="n">
        <v>1</v>
      </c>
      <c r="E16" s="2" t="n">
        <v>0</v>
      </c>
      <c r="F16" s="2" t="n">
        <v>0</v>
      </c>
      <c r="G16" s="2" t="n">
        <v>0</v>
      </c>
      <c r="H16" s="7" t="n">
        <f aca="false">0.3*C16 +0.25*F16+0.2*D16+0.15*E16+0.1*G16</f>
        <v>0.5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f aca="false">0.3*K16+0.25*L16+0.2*I16+0.15*J16+0.1*M16</f>
        <v>0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f aca="false">0.35*O16+0.25*Q16+0.15*P16+0.15*S16+0.1*R16</f>
        <v>0.35</v>
      </c>
      <c r="U16" s="2" t="n">
        <f aca="false">H16*N16</f>
        <v>0</v>
      </c>
      <c r="V16" s="2" t="n">
        <f aca="false">H16*T16</f>
        <v>0.175</v>
      </c>
      <c r="W16" s="2" t="n">
        <f aca="false">N16*T16</f>
        <v>0</v>
      </c>
      <c r="X16" s="2" t="n">
        <f aca="false">H16*N16*T16</f>
        <v>0</v>
      </c>
      <c r="BC16" s="2"/>
      <c r="BD16" s="2"/>
      <c r="BE16" s="2"/>
      <c r="BF16" s="2"/>
      <c r="BL16" s="2"/>
      <c r="BM16" s="2"/>
      <c r="BN16" s="2"/>
      <c r="BO16" s="2"/>
      <c r="BP16" s="2"/>
    </row>
    <row r="17" customFormat="false" ht="13.8" hidden="false" customHeight="false" outlineLevel="0" collapsed="false">
      <c r="A17" s="1" t="n">
        <v>43191</v>
      </c>
      <c r="B17" s="2" t="n">
        <v>90782.5</v>
      </c>
      <c r="C17" s="2" t="n">
        <v>1</v>
      </c>
      <c r="D17" s="2" t="n">
        <v>1</v>
      </c>
      <c r="E17" s="2" t="n">
        <v>0</v>
      </c>
      <c r="F17" s="2" t="n">
        <v>0</v>
      </c>
      <c r="G17" s="2" t="n">
        <v>0</v>
      </c>
      <c r="H17" s="7" t="n">
        <f aca="false">0.3*C17 +0.25*F17+0.2*D17+0.15*E17+0.1*G17</f>
        <v>0.5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f aca="false">0.3*K17+0.25*L17+0.2*I17+0.15*J17+0.1*M17</f>
        <v>0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f aca="false">0.35*O17+0.25*Q17+0.15*P17+0.15*S17+0.1*R17</f>
        <v>0.35</v>
      </c>
      <c r="U17" s="2" t="n">
        <f aca="false">H17*N17</f>
        <v>0</v>
      </c>
      <c r="V17" s="2" t="n">
        <f aca="false">H17*T17</f>
        <v>0.175</v>
      </c>
      <c r="W17" s="2" t="n">
        <f aca="false">N17*T17</f>
        <v>0</v>
      </c>
      <c r="X17" s="2" t="n">
        <f aca="false">H17*N17*T17</f>
        <v>0</v>
      </c>
      <c r="BC17" s="2"/>
      <c r="BD17" s="2"/>
      <c r="BE17" s="2"/>
      <c r="BF17" s="2"/>
      <c r="BL17" s="2"/>
      <c r="BM17" s="2"/>
      <c r="BN17" s="2"/>
      <c r="BO17" s="2"/>
      <c r="BP17" s="2"/>
    </row>
    <row r="18" customFormat="false" ht="13.8" hidden="false" customHeight="false" outlineLevel="0" collapsed="false">
      <c r="A18" s="1" t="n">
        <v>43221</v>
      </c>
      <c r="B18" s="2" t="n">
        <v>90250</v>
      </c>
      <c r="C18" s="2" t="n">
        <v>1</v>
      </c>
      <c r="D18" s="2" t="n">
        <v>1</v>
      </c>
      <c r="E18" s="2" t="n">
        <v>0</v>
      </c>
      <c r="F18" s="2" t="n">
        <v>0</v>
      </c>
      <c r="G18" s="2" t="n">
        <v>0</v>
      </c>
      <c r="H18" s="7" t="n">
        <f aca="false">0.3*C18 +0.25*F18+0.2*D18+0.15*E18+0.1*G18</f>
        <v>0.5</v>
      </c>
      <c r="I18" s="2" t="n">
        <v>1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f aca="false">0.3*K18+0.25*L18+0.2*I18+0.15*J18+0.1*M18</f>
        <v>0.2</v>
      </c>
      <c r="O18" s="2" t="n">
        <v>1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f aca="false">0.35*O18+0.25*Q18+0.15*P18+0.15*S18+0.1*R18</f>
        <v>0.35</v>
      </c>
      <c r="U18" s="2" t="n">
        <f aca="false">H18*N18</f>
        <v>0.1</v>
      </c>
      <c r="V18" s="2" t="n">
        <f aca="false">H18*T18</f>
        <v>0.175</v>
      </c>
      <c r="W18" s="2" t="n">
        <f aca="false">N18*T18</f>
        <v>0.07</v>
      </c>
      <c r="X18" s="2" t="n">
        <f aca="false">H18*N18*T18</f>
        <v>0.035</v>
      </c>
      <c r="BC18" s="2"/>
      <c r="BD18" s="2"/>
      <c r="BE18" s="2"/>
      <c r="BF18" s="2"/>
      <c r="BL18" s="2"/>
      <c r="BM18" s="2"/>
      <c r="BN18" s="2"/>
      <c r="BO18" s="2"/>
      <c r="BP18" s="2"/>
    </row>
    <row r="19" customFormat="false" ht="13.8" hidden="false" customHeight="false" outlineLevel="0" collapsed="false">
      <c r="A19" s="1" t="n">
        <v>43252</v>
      </c>
      <c r="B19" s="2" t="n">
        <v>81188.0952380952</v>
      </c>
      <c r="C19" s="2" t="n">
        <v>1</v>
      </c>
      <c r="D19" s="2" t="n">
        <v>1</v>
      </c>
      <c r="E19" s="2" t="n">
        <v>0</v>
      </c>
      <c r="F19" s="2" t="n">
        <v>0</v>
      </c>
      <c r="G19" s="2" t="n">
        <v>0</v>
      </c>
      <c r="H19" s="7" t="n">
        <f aca="false">0.3*C19 +0.25*F19+0.2*D19+0.15*E19+0.1*G19</f>
        <v>0.5</v>
      </c>
      <c r="I19" s="2" t="n">
        <v>1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f aca="false">0.3*K19+0.25*L19+0.2*I19+0.15*J19+0.1*M19</f>
        <v>0.2</v>
      </c>
      <c r="O19" s="2" t="n">
        <v>1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f aca="false">0.35*O19+0.25*Q19+0.15*P19+0.15*S19+0.1*R19</f>
        <v>0.35</v>
      </c>
      <c r="U19" s="2" t="n">
        <f aca="false">H19*N19</f>
        <v>0.1</v>
      </c>
      <c r="V19" s="2" t="n">
        <f aca="false">H19*T19</f>
        <v>0.175</v>
      </c>
      <c r="W19" s="2" t="n">
        <f aca="false">N19*T19</f>
        <v>0.07</v>
      </c>
      <c r="X19" s="2" t="n">
        <f aca="false">H19*N19*T19</f>
        <v>0.035</v>
      </c>
      <c r="BC19" s="2"/>
      <c r="BD19" s="2"/>
      <c r="BE19" s="2"/>
      <c r="BF19" s="2"/>
      <c r="BL19" s="2"/>
      <c r="BM19" s="2"/>
      <c r="BN19" s="2"/>
      <c r="BO19" s="2"/>
      <c r="BP19" s="2"/>
    </row>
    <row r="20" customFormat="false" ht="13.8" hidden="false" customHeight="false" outlineLevel="0" collapsed="false">
      <c r="A20" s="1" t="n">
        <v>43282</v>
      </c>
      <c r="B20" s="2" t="n">
        <v>70647.7272727272</v>
      </c>
      <c r="C20" s="2" t="n">
        <v>1</v>
      </c>
      <c r="D20" s="2" t="n">
        <v>1</v>
      </c>
      <c r="E20" s="2" t="n">
        <v>0</v>
      </c>
      <c r="F20" s="2" t="n">
        <v>0</v>
      </c>
      <c r="G20" s="2" t="n">
        <v>0</v>
      </c>
      <c r="H20" s="7" t="n">
        <f aca="false">0.3*C20 +0.25*F20+0.2*D20+0.15*E20+0.1*G20</f>
        <v>0.5</v>
      </c>
      <c r="I20" s="2" t="n">
        <v>1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f aca="false">0.3*K20+0.25*L20+0.2*I20+0.15*J20+0.1*M20</f>
        <v>0.2</v>
      </c>
      <c r="O20" s="2" t="n">
        <v>1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f aca="false">0.35*O20+0.25*Q20+0.15*P20+0.15*S20+0.1*R20</f>
        <v>0.35</v>
      </c>
      <c r="U20" s="2" t="n">
        <f aca="false">H20*N20</f>
        <v>0.1</v>
      </c>
      <c r="V20" s="2" t="n">
        <f aca="false">H20*T20</f>
        <v>0.175</v>
      </c>
      <c r="W20" s="2" t="n">
        <f aca="false">N20*T20</f>
        <v>0.07</v>
      </c>
      <c r="X20" s="2" t="n">
        <f aca="false">H20*N20*T20</f>
        <v>0.035</v>
      </c>
      <c r="BC20" s="2"/>
      <c r="BD20" s="2"/>
      <c r="BE20" s="2"/>
      <c r="BF20" s="2"/>
      <c r="BL20" s="2"/>
      <c r="BM20" s="2"/>
      <c r="BN20" s="2"/>
      <c r="BO20" s="2"/>
      <c r="BP20" s="2"/>
    </row>
    <row r="21" customFormat="false" ht="13.8" hidden="false" customHeight="false" outlineLevel="0" collapsed="false">
      <c r="A21" s="1" t="n">
        <v>43313</v>
      </c>
      <c r="B21" s="2" t="n">
        <v>63302.2954545454</v>
      </c>
      <c r="C21" s="2" t="n">
        <v>1</v>
      </c>
      <c r="D21" s="2" t="n">
        <v>1</v>
      </c>
      <c r="E21" s="2" t="n">
        <v>0</v>
      </c>
      <c r="F21" s="2" t="n">
        <v>0</v>
      </c>
      <c r="G21" s="2" t="n">
        <v>0</v>
      </c>
      <c r="H21" s="7" t="n">
        <f aca="false">0.3*C21 +0.25*F21+0.2*D21+0.15*E21+0.1*G21</f>
        <v>0.5</v>
      </c>
      <c r="I21" s="2" t="n">
        <v>1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f aca="false">0.3*K21+0.25*L21+0.2*I21+0.15*J21+0.1*M21</f>
        <v>0.2</v>
      </c>
      <c r="O21" s="2" t="n">
        <v>1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f aca="false">0.35*O21+0.25*Q21+0.15*P21+0.15*S21+0.1*R21</f>
        <v>0.35</v>
      </c>
      <c r="U21" s="2" t="n">
        <f aca="false">H21*N21</f>
        <v>0.1</v>
      </c>
      <c r="V21" s="2" t="n">
        <f aca="false">H21*T21</f>
        <v>0.175</v>
      </c>
      <c r="W21" s="2" t="n">
        <f aca="false">N21*T21</f>
        <v>0.07</v>
      </c>
      <c r="X21" s="2" t="n">
        <f aca="false">H21*N21*T21</f>
        <v>0.035</v>
      </c>
      <c r="BC21" s="2"/>
      <c r="BD21" s="2"/>
      <c r="BE21" s="2"/>
      <c r="BF21" s="2"/>
      <c r="BL21" s="2"/>
      <c r="BM21" s="2"/>
      <c r="BN21" s="2"/>
      <c r="BO21" s="2"/>
      <c r="BP21" s="2"/>
    </row>
    <row r="22" customFormat="false" ht="13.8" hidden="false" customHeight="false" outlineLevel="0" collapsed="false">
      <c r="A22" s="1" t="n">
        <v>43344</v>
      </c>
      <c r="B22" s="2" t="n">
        <v>62210.325</v>
      </c>
      <c r="C22" s="2" t="n">
        <v>1</v>
      </c>
      <c r="D22" s="2" t="n">
        <v>1</v>
      </c>
      <c r="E22" s="2" t="n">
        <v>0</v>
      </c>
      <c r="F22" s="2" t="n">
        <v>0</v>
      </c>
      <c r="G22" s="2" t="n">
        <v>0</v>
      </c>
      <c r="H22" s="7" t="n">
        <f aca="false">0.3*C22 +0.25*F22+0.2*D22+0.15*E22+0.1*G22</f>
        <v>0.5</v>
      </c>
      <c r="I22" s="2" t="n">
        <v>1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f aca="false">0.3*K22+0.25*L22+0.2*I22+0.15*J22+0.1*M22</f>
        <v>0.2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f aca="false">0.35*O22+0.25*Q22+0.15*P22+0.15*S22+0.1*R22</f>
        <v>0.35</v>
      </c>
      <c r="U22" s="2" t="n">
        <f aca="false">H22*N22</f>
        <v>0.1</v>
      </c>
      <c r="V22" s="2" t="n">
        <f aca="false">H22*T22</f>
        <v>0.175</v>
      </c>
      <c r="W22" s="2" t="n">
        <f aca="false">N22*T22</f>
        <v>0.07</v>
      </c>
      <c r="X22" s="2" t="n">
        <f aca="false">H22*N22*T22</f>
        <v>0.035</v>
      </c>
      <c r="BC22" s="2"/>
      <c r="BD22" s="2"/>
      <c r="BE22" s="2"/>
      <c r="BF22" s="2"/>
      <c r="BL22" s="2"/>
      <c r="BM22" s="2"/>
      <c r="BN22" s="2"/>
      <c r="BO22" s="2"/>
      <c r="BP22" s="2"/>
    </row>
    <row r="23" customFormat="false" ht="13.8" hidden="false" customHeight="false" outlineLevel="0" collapsed="false">
      <c r="A23" s="1" t="n">
        <v>43374</v>
      </c>
      <c r="B23" s="2" t="n">
        <v>60626.7826086956</v>
      </c>
      <c r="C23" s="2" t="n">
        <v>1</v>
      </c>
      <c r="D23" s="2" t="n">
        <v>1</v>
      </c>
      <c r="E23" s="2" t="n">
        <v>0</v>
      </c>
      <c r="F23" s="2" t="n">
        <v>0</v>
      </c>
      <c r="G23" s="2" t="n">
        <v>0</v>
      </c>
      <c r="H23" s="7" t="n">
        <f aca="false">0.3*C23 +0.25*F23+0.2*D23+0.15*E23+0.1*G23</f>
        <v>0.5</v>
      </c>
      <c r="I23" s="2" t="n">
        <v>1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f aca="false">0.3*K23+0.25*L23+0.2*I23+0.15*J23+0.1*M23</f>
        <v>0.2</v>
      </c>
      <c r="O23" s="2" t="n">
        <v>1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f aca="false">0.35*O23+0.25*Q23+0.15*P23+0.15*S23+0.1*R23</f>
        <v>0.35</v>
      </c>
      <c r="U23" s="2" t="n">
        <f aca="false">H23*N23</f>
        <v>0.1</v>
      </c>
      <c r="V23" s="2" t="n">
        <f aca="false">H23*T23</f>
        <v>0.175</v>
      </c>
      <c r="W23" s="2" t="n">
        <f aca="false">N23*T23</f>
        <v>0.07</v>
      </c>
      <c r="X23" s="2" t="n">
        <f aca="false">H23*N23*T23</f>
        <v>0.035</v>
      </c>
      <c r="BC23" s="2"/>
      <c r="BD23" s="2"/>
      <c r="BE23" s="2"/>
      <c r="BF23" s="2"/>
      <c r="BL23" s="2"/>
      <c r="BM23" s="2"/>
      <c r="BN23" s="2"/>
      <c r="BO23" s="2"/>
      <c r="BP23" s="2"/>
    </row>
    <row r="24" customFormat="false" ht="13.8" hidden="false" customHeight="false" outlineLevel="0" collapsed="false">
      <c r="A24" s="1" t="n">
        <v>43405</v>
      </c>
      <c r="B24" s="2" t="n">
        <v>54962.9318181818</v>
      </c>
      <c r="C24" s="2" t="n">
        <v>1</v>
      </c>
      <c r="D24" s="2" t="n">
        <v>1</v>
      </c>
      <c r="E24" s="2" t="n">
        <v>0</v>
      </c>
      <c r="F24" s="2" t="n">
        <v>0</v>
      </c>
      <c r="G24" s="2" t="n">
        <v>0</v>
      </c>
      <c r="H24" s="7" t="n">
        <f aca="false">0.3*C24 +0.25*F24+0.2*D24+0.15*E24+0.1*G24</f>
        <v>0.5</v>
      </c>
      <c r="I24" s="2" t="n">
        <v>1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f aca="false">0.3*K24+0.25*L24+0.2*I24+0.15*J24+0.1*M24</f>
        <v>0.2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f aca="false">0.35*O24+0.25*Q24+0.15*P24+0.15*S24+0.1*R24</f>
        <v>0.35</v>
      </c>
      <c r="U24" s="2" t="n">
        <f aca="false">H24*N24</f>
        <v>0.1</v>
      </c>
      <c r="V24" s="2" t="n">
        <f aca="false">H24*T24</f>
        <v>0.175</v>
      </c>
      <c r="W24" s="2" t="n">
        <f aca="false">N24*T24</f>
        <v>0.07</v>
      </c>
      <c r="X24" s="2" t="n">
        <f aca="false">H24*N24*T24</f>
        <v>0.035</v>
      </c>
      <c r="BC24" s="2"/>
      <c r="BD24" s="2"/>
      <c r="BE24" s="2"/>
      <c r="BF24" s="2"/>
      <c r="BL24" s="2"/>
      <c r="BM24" s="2"/>
      <c r="BN24" s="2"/>
      <c r="BO24" s="2"/>
      <c r="BP24" s="2"/>
    </row>
    <row r="25" customFormat="false" ht="13.8" hidden="false" customHeight="false" outlineLevel="0" collapsed="false">
      <c r="A25" s="1" t="n">
        <v>43435</v>
      </c>
      <c r="B25" s="2" t="n">
        <v>55263.1578947368</v>
      </c>
      <c r="C25" s="2" t="n">
        <v>1</v>
      </c>
      <c r="D25" s="2" t="n">
        <v>1</v>
      </c>
      <c r="E25" s="2" t="n">
        <v>0</v>
      </c>
      <c r="F25" s="2" t="n">
        <v>0</v>
      </c>
      <c r="G25" s="2" t="n">
        <v>0</v>
      </c>
      <c r="H25" s="7" t="n">
        <f aca="false">0.3*C25 +0.25*F25+0.2*D25+0.15*E25+0.1*G25</f>
        <v>0.5</v>
      </c>
      <c r="I25" s="2" t="n">
        <v>1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f aca="false">0.3*K25+0.25*L25+0.2*I25+0.15*J25+0.1*M25</f>
        <v>0.2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f aca="false">0.35*O25+0.25*Q25+0.15*P25+0.15*S25+0.1*R25</f>
        <v>0.35</v>
      </c>
      <c r="U25" s="2" t="n">
        <f aca="false">H25*N25</f>
        <v>0.1</v>
      </c>
      <c r="V25" s="2" t="n">
        <f aca="false">H25*T25</f>
        <v>0.175</v>
      </c>
      <c r="W25" s="2" t="n">
        <f aca="false">N25*T25</f>
        <v>0.07</v>
      </c>
      <c r="X25" s="2" t="n">
        <f aca="false">H25*N25*T25</f>
        <v>0.035</v>
      </c>
      <c r="BC25" s="2"/>
      <c r="BD25" s="2"/>
      <c r="BE25" s="2"/>
      <c r="BF25" s="2"/>
      <c r="BL25" s="2"/>
      <c r="BM25" s="2"/>
      <c r="BN25" s="2"/>
      <c r="BO25" s="2"/>
      <c r="BP25" s="2"/>
    </row>
    <row r="26" customFormat="false" ht="13.8" hidden="false" customHeight="false" outlineLevel="0" collapsed="false">
      <c r="A26" s="1" t="n">
        <v>43466</v>
      </c>
      <c r="B26" s="2" t="n">
        <v>40704.5454545454</v>
      </c>
      <c r="C26" s="2" t="n">
        <v>1</v>
      </c>
      <c r="D26" s="2" t="n">
        <v>1</v>
      </c>
      <c r="E26" s="2" t="n">
        <v>0</v>
      </c>
      <c r="F26" s="2" t="n">
        <v>0</v>
      </c>
      <c r="G26" s="2" t="n">
        <v>0</v>
      </c>
      <c r="H26" s="7" t="n">
        <f aca="false">0.3*C26 +0.25*F26+0.2*D26+0.15*E26+0.1*G26</f>
        <v>0.5</v>
      </c>
      <c r="I26" s="2" t="n">
        <v>1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f aca="false">0.3*K26+0.25*L26+0.2*I26+0.15*J26+0.1*M26</f>
        <v>0.2</v>
      </c>
      <c r="O26" s="2" t="n">
        <v>1</v>
      </c>
      <c r="P26" s="2" t="n">
        <v>1</v>
      </c>
      <c r="Q26" s="2" t="n">
        <v>0</v>
      </c>
      <c r="R26" s="2" t="n">
        <v>0</v>
      </c>
      <c r="S26" s="2" t="n">
        <v>0</v>
      </c>
      <c r="T26" s="2" t="n">
        <f aca="false">0.35*O26+0.25*Q26+0.15*P26+0.15*S26+0.1*R26</f>
        <v>0.5</v>
      </c>
      <c r="U26" s="2" t="n">
        <f aca="false">H26*N26</f>
        <v>0.1</v>
      </c>
      <c r="V26" s="2" t="n">
        <f aca="false">H26*T26</f>
        <v>0.25</v>
      </c>
      <c r="W26" s="2" t="n">
        <f aca="false">N26*T26</f>
        <v>0.1</v>
      </c>
      <c r="X26" s="2" t="n">
        <f aca="false">H26*N26*T26</f>
        <v>0.05</v>
      </c>
      <c r="BC26" s="2"/>
      <c r="BD26" s="2"/>
      <c r="BE26" s="2"/>
      <c r="BF26" s="2"/>
      <c r="BL26" s="2"/>
      <c r="BM26" s="2"/>
      <c r="BN26" s="2"/>
      <c r="BO26" s="2"/>
      <c r="BP26" s="2"/>
    </row>
    <row r="27" customFormat="false" ht="13.8" hidden="false" customHeight="false" outlineLevel="0" collapsed="false">
      <c r="A27" s="1" t="n">
        <v>43497</v>
      </c>
      <c r="B27" s="2" t="n">
        <v>32100</v>
      </c>
      <c r="C27" s="2" t="n">
        <v>1</v>
      </c>
      <c r="D27" s="2" t="n">
        <v>1</v>
      </c>
      <c r="E27" s="2" t="n">
        <v>0</v>
      </c>
      <c r="F27" s="2" t="n">
        <v>0</v>
      </c>
      <c r="G27" s="2" t="n">
        <v>0</v>
      </c>
      <c r="H27" s="7" t="n">
        <f aca="false">0.3*C27 +0.25*F27+0.2*D27+0.15*E27+0.1*G27</f>
        <v>0.5</v>
      </c>
      <c r="I27" s="2" t="n">
        <v>1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f aca="false">0.3*K27+0.25*L27+0.2*I27+0.15*J27+0.1*M27</f>
        <v>0.2</v>
      </c>
      <c r="O27" s="2" t="n">
        <v>1</v>
      </c>
      <c r="P27" s="2" t="n">
        <v>1</v>
      </c>
      <c r="Q27" s="2" t="n">
        <v>0</v>
      </c>
      <c r="R27" s="2" t="n">
        <v>0</v>
      </c>
      <c r="S27" s="2" t="n">
        <v>0</v>
      </c>
      <c r="T27" s="2" t="n">
        <f aca="false">0.35*O27+0.25*Q27+0.15*P27+0.15*S27+0.1*R27</f>
        <v>0.5</v>
      </c>
      <c r="U27" s="2" t="n">
        <f aca="false">H27*N27</f>
        <v>0.1</v>
      </c>
      <c r="V27" s="2" t="n">
        <f aca="false">H27*T27</f>
        <v>0.25</v>
      </c>
      <c r="W27" s="2" t="n">
        <f aca="false">N27*T27</f>
        <v>0.1</v>
      </c>
      <c r="X27" s="2" t="n">
        <f aca="false">H27*N27*T27</f>
        <v>0.05</v>
      </c>
      <c r="BC27" s="2"/>
      <c r="BD27" s="2"/>
      <c r="BE27" s="2"/>
      <c r="BF27" s="2"/>
      <c r="BL27" s="2"/>
      <c r="BM27" s="2"/>
      <c r="BN27" s="2"/>
      <c r="BO27" s="2"/>
      <c r="BP27" s="2"/>
    </row>
    <row r="28" customFormat="false" ht="13.8" hidden="false" customHeight="false" outlineLevel="0" collapsed="false">
      <c r="A28" s="1" t="n">
        <v>43525</v>
      </c>
      <c r="B28" s="2" t="n">
        <v>31333.3333333333</v>
      </c>
      <c r="C28" s="2" t="n">
        <v>1</v>
      </c>
      <c r="D28" s="2" t="n">
        <v>1</v>
      </c>
      <c r="E28" s="2" t="n">
        <v>0</v>
      </c>
      <c r="F28" s="2" t="n">
        <v>0</v>
      </c>
      <c r="G28" s="2" t="n">
        <v>0</v>
      </c>
      <c r="H28" s="7" t="n">
        <f aca="false">0.3*C28 +0.25*F28+0.2*D28+0.15*E28+0.1*G28</f>
        <v>0.5</v>
      </c>
      <c r="I28" s="2" t="n">
        <v>1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f aca="false">0.3*K28+0.25*L28+0.2*I28+0.15*J28+0.1*M28</f>
        <v>0.2</v>
      </c>
      <c r="O28" s="2" t="n">
        <v>1</v>
      </c>
      <c r="P28" s="2" t="n">
        <v>1</v>
      </c>
      <c r="Q28" s="2" t="n">
        <v>0</v>
      </c>
      <c r="R28" s="2" t="n">
        <v>0</v>
      </c>
      <c r="S28" s="2" t="n">
        <v>0</v>
      </c>
      <c r="T28" s="2" t="n">
        <f aca="false">0.35*O28+0.25*Q28+0.15*P28+0.15*S28+0.1*R28</f>
        <v>0.5</v>
      </c>
      <c r="U28" s="2" t="n">
        <f aca="false">H28*N28</f>
        <v>0.1</v>
      </c>
      <c r="V28" s="2" t="n">
        <f aca="false">H28*T28</f>
        <v>0.25</v>
      </c>
      <c r="W28" s="2" t="n">
        <f aca="false">N28*T28</f>
        <v>0.1</v>
      </c>
      <c r="X28" s="2" t="n">
        <f aca="false">H28*N28*T28</f>
        <v>0.05</v>
      </c>
      <c r="BC28" s="2"/>
      <c r="BD28" s="2"/>
      <c r="BE28" s="2"/>
      <c r="BF28" s="2"/>
      <c r="BL28" s="2"/>
      <c r="BM28" s="2"/>
      <c r="BN28" s="2"/>
      <c r="BO28" s="2"/>
      <c r="BP28" s="2"/>
    </row>
    <row r="29" customFormat="false" ht="13.8" hidden="false" customHeight="false" outlineLevel="0" collapsed="false">
      <c r="A29" s="1" t="n">
        <v>43556</v>
      </c>
      <c r="B29" s="2" t="n">
        <v>33500</v>
      </c>
      <c r="C29" s="2" t="n">
        <v>1</v>
      </c>
      <c r="D29" s="2" t="n">
        <v>1</v>
      </c>
      <c r="E29" s="2" t="n">
        <v>0</v>
      </c>
      <c r="F29" s="2" t="n">
        <v>0</v>
      </c>
      <c r="G29" s="2" t="n">
        <v>0</v>
      </c>
      <c r="H29" s="7" t="n">
        <f aca="false">0.3*C29 +0.25*F29+0.2*D29+0.15*E29+0.1*G29</f>
        <v>0.5</v>
      </c>
      <c r="I29" s="2" t="n">
        <v>1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f aca="false">0.3*K29+0.25*L29+0.2*I29+0.15*J29+0.1*M29</f>
        <v>0.2</v>
      </c>
      <c r="O29" s="2" t="n">
        <v>1</v>
      </c>
      <c r="P29" s="2" t="n">
        <v>1</v>
      </c>
      <c r="Q29" s="2" t="n">
        <v>0</v>
      </c>
      <c r="R29" s="2" t="n">
        <v>0</v>
      </c>
      <c r="S29" s="2" t="n">
        <v>0</v>
      </c>
      <c r="T29" s="2" t="n">
        <f aca="false">0.35*O29+0.25*Q29+0.15*P29+0.15*S29+0.1*R29</f>
        <v>0.5</v>
      </c>
      <c r="U29" s="2" t="n">
        <f aca="false">H29*N29</f>
        <v>0.1</v>
      </c>
      <c r="V29" s="2" t="n">
        <f aca="false">H29*T29</f>
        <v>0.25</v>
      </c>
      <c r="W29" s="2" t="n">
        <f aca="false">N29*T29</f>
        <v>0.1</v>
      </c>
      <c r="X29" s="2" t="n">
        <f aca="false">H29*N29*T29</f>
        <v>0.05</v>
      </c>
      <c r="BC29" s="2"/>
      <c r="BD29" s="2"/>
      <c r="BE29" s="2"/>
      <c r="BF29" s="2"/>
      <c r="BL29" s="2"/>
      <c r="BM29" s="2"/>
      <c r="BN29" s="2"/>
      <c r="BO29" s="2"/>
      <c r="BP29" s="2"/>
    </row>
    <row r="30" customFormat="false" ht="13.8" hidden="false" customHeight="false" outlineLevel="0" collapsed="false">
      <c r="A30" s="1" t="n">
        <v>43586</v>
      </c>
      <c r="B30" s="2" t="n">
        <v>34166.6666666666</v>
      </c>
      <c r="C30" s="2" t="n">
        <v>1</v>
      </c>
      <c r="D30" s="2" t="n">
        <v>1</v>
      </c>
      <c r="E30" s="2" t="n">
        <v>0</v>
      </c>
      <c r="F30" s="2" t="n">
        <v>0</v>
      </c>
      <c r="G30" s="2" t="n">
        <v>0</v>
      </c>
      <c r="H30" s="7" t="n">
        <f aca="false">0.3*C30 +0.25*F30+0.2*D30+0.15*E30+0.1*G30</f>
        <v>0.5</v>
      </c>
      <c r="I30" s="2" t="n">
        <v>1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f aca="false">0.3*K30+0.25*L30+0.2*I30+0.15*J30+0.1*M30</f>
        <v>0.2</v>
      </c>
      <c r="O30" s="2" t="n">
        <v>1</v>
      </c>
      <c r="P30" s="2" t="n">
        <v>1</v>
      </c>
      <c r="Q30" s="2" t="n">
        <v>0</v>
      </c>
      <c r="R30" s="2" t="n">
        <v>0</v>
      </c>
      <c r="S30" s="2" t="n">
        <v>0</v>
      </c>
      <c r="T30" s="2" t="n">
        <f aca="false">0.35*O30+0.25*Q30+0.15*P30+0.15*S30+0.1*R30</f>
        <v>0.5</v>
      </c>
      <c r="U30" s="2" t="n">
        <f aca="false">H30*N30</f>
        <v>0.1</v>
      </c>
      <c r="V30" s="2" t="n">
        <f aca="false">H30*T30</f>
        <v>0.25</v>
      </c>
      <c r="W30" s="2" t="n">
        <f aca="false">N30*T30</f>
        <v>0.1</v>
      </c>
      <c r="X30" s="2" t="n">
        <f aca="false">H30*N30*T30</f>
        <v>0.05</v>
      </c>
      <c r="BC30" s="2"/>
      <c r="BD30" s="2"/>
      <c r="BE30" s="2"/>
      <c r="BF30" s="2"/>
      <c r="BL30" s="2"/>
      <c r="BM30" s="2"/>
      <c r="BN30" s="2"/>
      <c r="BO30" s="2"/>
      <c r="BP30" s="2"/>
    </row>
    <row r="31" customFormat="false" ht="13.8" hidden="false" customHeight="false" outlineLevel="0" collapsed="false">
      <c r="A31" s="1" t="n">
        <v>43617</v>
      </c>
      <c r="B31" s="2" t="n">
        <v>28809</v>
      </c>
      <c r="C31" s="2" t="n">
        <v>1</v>
      </c>
      <c r="D31" s="2" t="n">
        <v>1</v>
      </c>
      <c r="E31" s="2" t="n">
        <v>0</v>
      </c>
      <c r="F31" s="2" t="n">
        <v>0</v>
      </c>
      <c r="G31" s="2" t="n">
        <v>0</v>
      </c>
      <c r="H31" s="7" t="n">
        <f aca="false">0.3*C31 +0.25*F31+0.2*D31+0.15*E31+0.1*G31</f>
        <v>0.5</v>
      </c>
      <c r="I31" s="2" t="n">
        <v>1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f aca="false">0.3*K31+0.25*L31+0.2*I31+0.15*J31+0.1*M31</f>
        <v>0.2</v>
      </c>
      <c r="O31" s="2" t="n">
        <v>1</v>
      </c>
      <c r="P31" s="2" t="n">
        <v>1</v>
      </c>
      <c r="Q31" s="2" t="n">
        <v>0</v>
      </c>
      <c r="R31" s="2" t="n">
        <v>0</v>
      </c>
      <c r="S31" s="2" t="n">
        <v>0</v>
      </c>
      <c r="T31" s="2" t="n">
        <f aca="false">0.35*O31+0.25*Q31+0.15*P31+0.15*S31+0.1*R31</f>
        <v>0.5</v>
      </c>
      <c r="U31" s="2" t="n">
        <f aca="false">H31*N31</f>
        <v>0.1</v>
      </c>
      <c r="V31" s="2" t="n">
        <f aca="false">H31*T31</f>
        <v>0.25</v>
      </c>
      <c r="W31" s="2" t="n">
        <f aca="false">N31*T31</f>
        <v>0.1</v>
      </c>
      <c r="X31" s="2" t="n">
        <f aca="false">H31*N31*T31</f>
        <v>0.05</v>
      </c>
      <c r="BC31" s="2"/>
      <c r="BD31" s="2"/>
      <c r="BE31" s="2"/>
      <c r="BF31" s="2"/>
      <c r="BL31" s="2"/>
      <c r="BM31" s="2"/>
      <c r="BN31" s="2"/>
      <c r="BO31" s="2"/>
      <c r="BP31" s="2"/>
    </row>
    <row r="32" customFormat="false" ht="13.8" hidden="false" customHeight="false" outlineLevel="0" collapsed="false">
      <c r="A32" s="1" t="n">
        <v>43647</v>
      </c>
      <c r="B32" s="2" t="n">
        <v>27340.3260869565</v>
      </c>
      <c r="C32" s="2" t="n">
        <v>1</v>
      </c>
      <c r="D32" s="2" t="n">
        <v>1</v>
      </c>
      <c r="E32" s="2" t="n">
        <v>0</v>
      </c>
      <c r="F32" s="2" t="n">
        <v>0</v>
      </c>
      <c r="G32" s="2" t="n">
        <v>0</v>
      </c>
      <c r="H32" s="7" t="n">
        <f aca="false">0.3*C32 +0.25*F32+0.2*D32+0.15*E32+0.1*G32</f>
        <v>0.5</v>
      </c>
      <c r="I32" s="2" t="n">
        <v>1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f aca="false">0.3*K32+0.25*L32+0.2*I32+0.15*J32+0.1*M32</f>
        <v>0.2</v>
      </c>
      <c r="O32" s="2" t="n">
        <v>1</v>
      </c>
      <c r="P32" s="2" t="n">
        <v>1</v>
      </c>
      <c r="Q32" s="2" t="n">
        <v>0</v>
      </c>
      <c r="R32" s="2" t="n">
        <v>0</v>
      </c>
      <c r="S32" s="2" t="n">
        <v>0</v>
      </c>
      <c r="T32" s="2" t="n">
        <f aca="false">0.35*O32+0.25*Q32+0.15*P32+0.15*S32+0.1*R32</f>
        <v>0.5</v>
      </c>
      <c r="U32" s="2" t="n">
        <f aca="false">H32*N32</f>
        <v>0.1</v>
      </c>
      <c r="V32" s="2" t="n">
        <f aca="false">H32*T32</f>
        <v>0.25</v>
      </c>
      <c r="W32" s="2" t="n">
        <f aca="false">N32*T32</f>
        <v>0.1</v>
      </c>
      <c r="X32" s="2" t="n">
        <f aca="false">H32*N32*T32</f>
        <v>0.05</v>
      </c>
      <c r="BC32" s="2"/>
      <c r="BD32" s="2"/>
      <c r="BE32" s="2"/>
      <c r="BF32" s="2"/>
      <c r="BL32" s="2"/>
      <c r="BM32" s="2"/>
      <c r="BN32" s="2"/>
      <c r="BO32" s="2"/>
      <c r="BP32" s="2"/>
    </row>
    <row r="33" customFormat="false" ht="13.8" hidden="false" customHeight="false" outlineLevel="0" collapsed="false">
      <c r="A33" s="1" t="n">
        <v>43678</v>
      </c>
      <c r="B33" s="2" t="n">
        <v>30136.5714285714</v>
      </c>
      <c r="C33" s="2" t="n">
        <v>1</v>
      </c>
      <c r="D33" s="2" t="n">
        <v>1</v>
      </c>
      <c r="E33" s="2" t="n">
        <v>0</v>
      </c>
      <c r="F33" s="2" t="n">
        <v>0</v>
      </c>
      <c r="G33" s="2" t="n">
        <v>0</v>
      </c>
      <c r="H33" s="7" t="n">
        <f aca="false">0.3*C33 +0.25*F33+0.2*D33+0.15*E33+0.1*G33</f>
        <v>0.5</v>
      </c>
      <c r="I33" s="2" t="n">
        <v>1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f aca="false">0.3*K33+0.25*L33+0.2*I33+0.15*J33+0.1*M33</f>
        <v>0.2</v>
      </c>
      <c r="O33" s="2" t="n">
        <v>1</v>
      </c>
      <c r="P33" s="2" t="n">
        <v>1</v>
      </c>
      <c r="Q33" s="2" t="n">
        <v>0</v>
      </c>
      <c r="R33" s="2" t="n">
        <v>0</v>
      </c>
      <c r="S33" s="2" t="n">
        <v>0</v>
      </c>
      <c r="T33" s="2" t="n">
        <f aca="false">0.35*O33+0.25*Q33+0.15*P33+0.15*S33+0.1*R33</f>
        <v>0.5</v>
      </c>
      <c r="U33" s="2" t="n">
        <f aca="false">H33*N33</f>
        <v>0.1</v>
      </c>
      <c r="V33" s="2" t="n">
        <f aca="false">H33*T33</f>
        <v>0.25</v>
      </c>
      <c r="W33" s="2" t="n">
        <f aca="false">N33*T33</f>
        <v>0.1</v>
      </c>
      <c r="X33" s="2" t="n">
        <f aca="false">H33*N33*T33</f>
        <v>0.05</v>
      </c>
      <c r="BC33" s="2"/>
      <c r="BD33" s="2"/>
      <c r="BE33" s="2"/>
      <c r="BF33" s="2"/>
      <c r="BL33" s="2"/>
      <c r="BM33" s="2"/>
      <c r="BN33" s="2"/>
      <c r="BO33" s="2"/>
      <c r="BP33" s="2"/>
    </row>
    <row r="34" customFormat="false" ht="13.8" hidden="false" customHeight="false" outlineLevel="0" collapsed="false">
      <c r="A34" s="1" t="n">
        <v>43709</v>
      </c>
      <c r="B34" s="2" t="n">
        <v>35720.4285714285</v>
      </c>
      <c r="C34" s="2" t="n">
        <v>1</v>
      </c>
      <c r="D34" s="2" t="n">
        <v>1</v>
      </c>
      <c r="E34" s="2" t="n">
        <v>0</v>
      </c>
      <c r="F34" s="2" t="n">
        <v>0</v>
      </c>
      <c r="G34" s="2" t="n">
        <v>0</v>
      </c>
      <c r="H34" s="7" t="n">
        <f aca="false">0.3*C34 +0.25*F34+0.2*D34+0.15*E34+0.1*G34</f>
        <v>0.5</v>
      </c>
      <c r="I34" s="2" t="n">
        <v>1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f aca="false">0.3*K34+0.25*L34+0.2*I34+0.15*J34+0.1*M34</f>
        <v>0.2</v>
      </c>
      <c r="O34" s="2" t="n">
        <v>1</v>
      </c>
      <c r="P34" s="2" t="n">
        <v>1</v>
      </c>
      <c r="Q34" s="2" t="n">
        <v>0</v>
      </c>
      <c r="R34" s="2" t="n">
        <v>0</v>
      </c>
      <c r="S34" s="2" t="n">
        <v>0</v>
      </c>
      <c r="T34" s="2" t="n">
        <f aca="false">0.35*O34+0.25*Q34+0.15*P34+0.15*S34+0.1*R34</f>
        <v>0.5</v>
      </c>
      <c r="U34" s="2" t="n">
        <f aca="false">H34*N34</f>
        <v>0.1</v>
      </c>
      <c r="V34" s="2" t="n">
        <f aca="false">H34*T34</f>
        <v>0.25</v>
      </c>
      <c r="W34" s="2" t="n">
        <f aca="false">N34*T34</f>
        <v>0.1</v>
      </c>
      <c r="X34" s="2" t="n">
        <f aca="false">H34*N34*T34</f>
        <v>0.05</v>
      </c>
      <c r="BC34" s="2"/>
      <c r="BD34" s="2"/>
      <c r="BE34" s="2"/>
      <c r="BF34" s="2"/>
      <c r="BL34" s="2"/>
      <c r="BM34" s="2"/>
      <c r="BN34" s="2"/>
      <c r="BO34" s="2"/>
      <c r="BP34" s="2"/>
    </row>
    <row r="35" customFormat="false" ht="13.8" hidden="false" customHeight="false" outlineLevel="0" collapsed="false">
      <c r="A35" s="1" t="n">
        <v>43739</v>
      </c>
      <c r="B35" s="2" t="n">
        <v>35263.0869565217</v>
      </c>
      <c r="C35" s="2" t="n">
        <v>1</v>
      </c>
      <c r="D35" s="2" t="n">
        <v>1</v>
      </c>
      <c r="E35" s="2" t="n">
        <v>0</v>
      </c>
      <c r="F35" s="2" t="n">
        <v>0</v>
      </c>
      <c r="G35" s="2" t="n">
        <v>0</v>
      </c>
      <c r="H35" s="7" t="n">
        <f aca="false">0.3*C35 +0.25*F35+0.2*D35+0.15*E35+0.1*G35</f>
        <v>0.5</v>
      </c>
      <c r="I35" s="2" t="n">
        <v>1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f aca="false">0.3*K35+0.25*L35+0.2*I35+0.15*J35+0.1*M35</f>
        <v>0.2</v>
      </c>
      <c r="O35" s="2" t="n">
        <v>1</v>
      </c>
      <c r="P35" s="2" t="n">
        <v>1</v>
      </c>
      <c r="Q35" s="2" t="n">
        <v>0</v>
      </c>
      <c r="R35" s="2" t="n">
        <v>0</v>
      </c>
      <c r="S35" s="2" t="n">
        <v>0</v>
      </c>
      <c r="T35" s="2" t="n">
        <f aca="false">0.35*O35+0.25*Q35+0.15*P35+0.15*S35+0.1*R35</f>
        <v>0.5</v>
      </c>
      <c r="U35" s="2" t="n">
        <f aca="false">H35*N35</f>
        <v>0.1</v>
      </c>
      <c r="V35" s="2" t="n">
        <f aca="false">H35*T35</f>
        <v>0.25</v>
      </c>
      <c r="W35" s="2" t="n">
        <f aca="false">N35*T35</f>
        <v>0.1</v>
      </c>
      <c r="X35" s="2" t="n">
        <f aca="false">H35*N35*T35</f>
        <v>0.05</v>
      </c>
      <c r="BC35" s="2"/>
      <c r="BD35" s="2"/>
      <c r="BE35" s="2"/>
      <c r="BF35" s="2"/>
      <c r="BL35" s="2"/>
      <c r="BM35" s="2"/>
      <c r="BN35" s="2"/>
      <c r="BO35" s="2"/>
      <c r="BP35" s="2"/>
    </row>
    <row r="36" customFormat="false" ht="13.8" hidden="false" customHeight="false" outlineLevel="0" collapsed="false">
      <c r="A36" s="1" t="n">
        <v>43770</v>
      </c>
      <c r="B36" s="2" t="n">
        <v>35510.1666666666</v>
      </c>
      <c r="C36" s="2" t="n">
        <v>1</v>
      </c>
      <c r="D36" s="2" t="n">
        <v>1</v>
      </c>
      <c r="E36" s="2" t="n">
        <v>0</v>
      </c>
      <c r="F36" s="2" t="n">
        <v>0</v>
      </c>
      <c r="G36" s="2" t="n">
        <v>0</v>
      </c>
      <c r="H36" s="7" t="n">
        <f aca="false">0.3*C36 +0.25*F36+0.2*D36+0.15*E36+0.1*G36</f>
        <v>0.5</v>
      </c>
      <c r="I36" s="2" t="n">
        <v>1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f aca="false">0.3*K36+0.25*L36+0.2*I36+0.15*J36+0.1*M36</f>
        <v>0.2</v>
      </c>
      <c r="O36" s="2" t="n">
        <v>1</v>
      </c>
      <c r="P36" s="2" t="n">
        <v>1</v>
      </c>
      <c r="Q36" s="2" t="n">
        <v>0</v>
      </c>
      <c r="R36" s="2" t="n">
        <v>0</v>
      </c>
      <c r="S36" s="2" t="n">
        <v>0</v>
      </c>
      <c r="T36" s="2" t="n">
        <f aca="false">0.35*O36+0.25*Q36+0.15*P36+0.15*S36+0.1*R36</f>
        <v>0.5</v>
      </c>
      <c r="U36" s="2" t="n">
        <f aca="false">H36*N36</f>
        <v>0.1</v>
      </c>
      <c r="V36" s="2" t="n">
        <f aca="false">H36*T36</f>
        <v>0.25</v>
      </c>
      <c r="W36" s="2" t="n">
        <f aca="false">N36*T36</f>
        <v>0.1</v>
      </c>
      <c r="X36" s="2" t="n">
        <f aca="false">H36*N36*T36</f>
        <v>0.05</v>
      </c>
      <c r="BC36" s="2"/>
      <c r="BD36" s="2"/>
      <c r="BE36" s="2"/>
      <c r="BF36" s="2"/>
      <c r="BL36" s="2"/>
      <c r="BM36" s="2"/>
      <c r="BN36" s="2"/>
      <c r="BO36" s="2"/>
      <c r="BP36" s="2"/>
    </row>
    <row r="37" customFormat="false" ht="13.8" hidden="false" customHeight="false" outlineLevel="0" collapsed="false">
      <c r="A37" s="1" t="n">
        <v>43800</v>
      </c>
      <c r="B37" s="2" t="n">
        <v>33547.4625</v>
      </c>
      <c r="C37" s="2" t="n">
        <v>1</v>
      </c>
      <c r="D37" s="2" t="n">
        <v>1</v>
      </c>
      <c r="E37" s="2" t="n">
        <v>0</v>
      </c>
      <c r="F37" s="2" t="n">
        <v>0</v>
      </c>
      <c r="G37" s="2" t="n">
        <v>0</v>
      </c>
      <c r="H37" s="7" t="n">
        <f aca="false">0.3*C37 +0.25*F37+0.2*D37+0.15*E37+0.1*G37</f>
        <v>0.5</v>
      </c>
      <c r="I37" s="2" t="n">
        <v>1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f aca="false">0.3*K37+0.25*L37+0.2*I37+0.15*J37+0.1*M37</f>
        <v>0.2</v>
      </c>
      <c r="O37" s="2" t="n">
        <v>1</v>
      </c>
      <c r="P37" s="2" t="n">
        <v>1</v>
      </c>
      <c r="Q37" s="2" t="n">
        <v>0</v>
      </c>
      <c r="R37" s="2" t="n">
        <v>0</v>
      </c>
      <c r="S37" s="2" t="n">
        <v>0</v>
      </c>
      <c r="T37" s="2" t="n">
        <f aca="false">0.35*O37+0.25*Q37+0.15*P37+0.15*S37+0.1*R37</f>
        <v>0.5</v>
      </c>
      <c r="U37" s="2" t="n">
        <f aca="false">H37*N37</f>
        <v>0.1</v>
      </c>
      <c r="V37" s="2" t="n">
        <f aca="false">H37*T37</f>
        <v>0.25</v>
      </c>
      <c r="W37" s="2" t="n">
        <f aca="false">N37*T37</f>
        <v>0.1</v>
      </c>
      <c r="X37" s="2" t="n">
        <f aca="false">H37*N37*T37</f>
        <v>0.05</v>
      </c>
      <c r="BC37" s="2"/>
      <c r="BD37" s="2"/>
      <c r="BE37" s="2"/>
      <c r="BF37" s="2"/>
      <c r="BL37" s="2"/>
      <c r="BM37" s="2"/>
      <c r="BN37" s="2"/>
      <c r="BO37" s="2"/>
      <c r="BP37" s="2"/>
    </row>
    <row r="38" customFormat="false" ht="13.8" hidden="false" customHeight="false" outlineLevel="0" collapsed="false">
      <c r="A38" s="1" t="n">
        <v>43831</v>
      </c>
      <c r="B38" s="2" t="n">
        <v>32213.0227272727</v>
      </c>
      <c r="C38" s="2" t="n">
        <v>1</v>
      </c>
      <c r="D38" s="2" t="n">
        <v>1</v>
      </c>
      <c r="E38" s="2" t="n">
        <v>0</v>
      </c>
      <c r="F38" s="2" t="n">
        <v>0</v>
      </c>
      <c r="G38" s="2" t="n">
        <v>0</v>
      </c>
      <c r="H38" s="7" t="n">
        <f aca="false">0.3*C38 +0.25*F38+0.2*D38+0.15*E38+0.1*G38</f>
        <v>0.5</v>
      </c>
      <c r="I38" s="2" t="n">
        <v>1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f aca="false">0.3*K38+0.25*L38+0.2*I38+0.15*J38+0.1*M38</f>
        <v>0.2</v>
      </c>
      <c r="O38" s="2" t="n">
        <v>1</v>
      </c>
      <c r="P38" s="2" t="n">
        <v>1</v>
      </c>
      <c r="Q38" s="2" t="n">
        <v>0</v>
      </c>
      <c r="R38" s="2" t="n">
        <v>0</v>
      </c>
      <c r="S38" s="2" t="n">
        <v>0</v>
      </c>
      <c r="T38" s="2" t="n">
        <f aca="false">0.35*O38+0.25*Q38+0.15*P38+0.15*S38+0.1*R38</f>
        <v>0.5</v>
      </c>
      <c r="U38" s="2" t="n">
        <f aca="false">H38*N38</f>
        <v>0.1</v>
      </c>
      <c r="V38" s="2" t="n">
        <f aca="false">H38*T38</f>
        <v>0.25</v>
      </c>
      <c r="W38" s="2" t="n">
        <f aca="false">N38*T38</f>
        <v>0.1</v>
      </c>
      <c r="X38" s="2" t="n">
        <f aca="false">H38*N38*T38</f>
        <v>0.05</v>
      </c>
      <c r="BC38" s="2"/>
      <c r="BD38" s="2"/>
      <c r="BE38" s="2"/>
      <c r="BF38" s="2"/>
      <c r="BL38" s="2"/>
      <c r="BM38" s="2"/>
      <c r="BN38" s="2"/>
      <c r="BO38" s="2"/>
      <c r="BP38" s="2"/>
    </row>
    <row r="39" customFormat="false" ht="13.8" hidden="false" customHeight="false" outlineLevel="0" collapsed="false">
      <c r="A39" s="1" t="n">
        <v>43862</v>
      </c>
      <c r="B39" s="2" t="n">
        <v>33542.075</v>
      </c>
      <c r="C39" s="2" t="n">
        <v>1</v>
      </c>
      <c r="D39" s="2" t="n">
        <v>1</v>
      </c>
      <c r="E39" s="2" t="n">
        <v>0</v>
      </c>
      <c r="F39" s="2" t="n">
        <v>0</v>
      </c>
      <c r="G39" s="2" t="n">
        <v>0</v>
      </c>
      <c r="H39" s="7" t="n">
        <f aca="false">0.3*C39 +0.25*F39+0.2*D39+0.15*E39+0.1*G39</f>
        <v>0.5</v>
      </c>
      <c r="I39" s="2" t="n">
        <v>1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f aca="false">0.3*K39+0.25*L39+0.2*I39+0.15*J39+0.1*M39</f>
        <v>0.2</v>
      </c>
      <c r="O39" s="2" t="n">
        <v>1</v>
      </c>
      <c r="P39" s="2" t="n">
        <v>1</v>
      </c>
      <c r="Q39" s="2" t="n">
        <v>0</v>
      </c>
      <c r="R39" s="2" t="n">
        <v>0</v>
      </c>
      <c r="S39" s="2" t="n">
        <v>0</v>
      </c>
      <c r="T39" s="2" t="n">
        <f aca="false">0.35*O39+0.25*Q39+0.15*P39+0.15*S39+0.1*R39</f>
        <v>0.5</v>
      </c>
      <c r="U39" s="2" t="n">
        <f aca="false">H39*N39</f>
        <v>0.1</v>
      </c>
      <c r="V39" s="2" t="n">
        <f aca="false">H39*T39</f>
        <v>0.25</v>
      </c>
      <c r="W39" s="2" t="n">
        <f aca="false">N39*T39</f>
        <v>0.1</v>
      </c>
      <c r="X39" s="2" t="n">
        <f aca="false">H39*N39*T39</f>
        <v>0.05</v>
      </c>
      <c r="BC39" s="2"/>
      <c r="BD39" s="2"/>
      <c r="BE39" s="2"/>
      <c r="BF39" s="2"/>
      <c r="BL39" s="2"/>
      <c r="BM39" s="2"/>
      <c r="BN39" s="2"/>
      <c r="BO39" s="2"/>
      <c r="BP39" s="2"/>
    </row>
    <row r="40" customFormat="false" ht="13.8" hidden="false" customHeight="false" outlineLevel="0" collapsed="false">
      <c r="A40" s="1" t="n">
        <v>43891</v>
      </c>
      <c r="B40" s="2" t="n">
        <v>31119.0454545454</v>
      </c>
      <c r="C40" s="2" t="n">
        <v>1</v>
      </c>
      <c r="D40" s="2" t="n">
        <v>1</v>
      </c>
      <c r="E40" s="2" t="n">
        <v>1</v>
      </c>
      <c r="F40" s="2" t="n">
        <v>0</v>
      </c>
      <c r="G40" s="2" t="n">
        <v>0</v>
      </c>
      <c r="H40" s="7" t="n">
        <f aca="false">0.3*C40 +0.25*F40+0.2*D40+0.15*E40+0.1*G40</f>
        <v>0.65</v>
      </c>
      <c r="I40" s="2" t="n">
        <v>1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f aca="false">0.3*K40+0.25*L40+0.2*I40+0.15*J40+0.1*M40</f>
        <v>0.2</v>
      </c>
      <c r="O40" s="2" t="n">
        <v>1</v>
      </c>
      <c r="P40" s="2" t="n">
        <v>1</v>
      </c>
      <c r="Q40" s="2" t="n">
        <v>0</v>
      </c>
      <c r="R40" s="2" t="n">
        <v>0</v>
      </c>
      <c r="S40" s="2" t="n">
        <v>0</v>
      </c>
      <c r="T40" s="2" t="n">
        <f aca="false">0.35*O40+0.25*Q40+0.15*P40+0.15*S40+0.1*R40</f>
        <v>0.5</v>
      </c>
      <c r="U40" s="2" t="n">
        <f aca="false">H40*N40</f>
        <v>0.13</v>
      </c>
      <c r="V40" s="2" t="n">
        <f aca="false">H40*T40</f>
        <v>0.325</v>
      </c>
      <c r="W40" s="2" t="n">
        <f aca="false">N40*T40</f>
        <v>0.1</v>
      </c>
      <c r="X40" s="2" t="n">
        <f aca="false">H40*N40*T40</f>
        <v>0.065</v>
      </c>
      <c r="BC40" s="2"/>
      <c r="BD40" s="2"/>
      <c r="BE40" s="2"/>
      <c r="BF40" s="2"/>
      <c r="BL40" s="2"/>
      <c r="BM40" s="2"/>
      <c r="BN40" s="2"/>
      <c r="BO40" s="2"/>
      <c r="BP40" s="2"/>
    </row>
    <row r="41" customFormat="false" ht="13.8" hidden="false" customHeight="false" outlineLevel="0" collapsed="false">
      <c r="A41" s="1" t="n">
        <v>43922</v>
      </c>
      <c r="B41" s="2" t="n">
        <v>29565</v>
      </c>
      <c r="C41" s="2" t="n">
        <v>1</v>
      </c>
      <c r="D41" s="2" t="n">
        <v>1</v>
      </c>
      <c r="E41" s="2" t="n">
        <v>1</v>
      </c>
      <c r="F41" s="2" t="n">
        <v>0</v>
      </c>
      <c r="G41" s="2" t="n">
        <v>0</v>
      </c>
      <c r="H41" s="7" t="n">
        <f aca="false">0.3*C41 +0.25*F41+0.2*D41+0.15*E41+0.1*G41</f>
        <v>0.65</v>
      </c>
      <c r="I41" s="2" t="n">
        <v>1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f aca="false">0.3*K41+0.25*L41+0.2*I41+0.15*J41+0.1*M41</f>
        <v>0.2</v>
      </c>
      <c r="O41" s="2" t="n">
        <v>1</v>
      </c>
      <c r="P41" s="2" t="n">
        <v>1</v>
      </c>
      <c r="Q41" s="2" t="n">
        <v>0</v>
      </c>
      <c r="R41" s="2" t="n">
        <v>0</v>
      </c>
      <c r="S41" s="2" t="n">
        <v>0</v>
      </c>
      <c r="T41" s="2" t="n">
        <f aca="false">0.35*O41+0.25*Q41+0.15*P41+0.15*S41+0.1*R41</f>
        <v>0.5</v>
      </c>
      <c r="U41" s="2" t="n">
        <f aca="false">H41*N41</f>
        <v>0.13</v>
      </c>
      <c r="V41" s="2" t="n">
        <f aca="false">H41*T41</f>
        <v>0.325</v>
      </c>
      <c r="W41" s="2" t="n">
        <f aca="false">N41*T41</f>
        <v>0.1</v>
      </c>
      <c r="X41" s="2" t="n">
        <f aca="false">H41*N41*T41</f>
        <v>0.065</v>
      </c>
      <c r="BC41" s="2"/>
      <c r="BD41" s="2"/>
      <c r="BE41" s="2"/>
      <c r="BF41" s="2"/>
      <c r="BL41" s="2"/>
      <c r="BM41" s="2"/>
      <c r="BN41" s="2"/>
      <c r="BO41" s="2"/>
      <c r="BP41" s="2"/>
    </row>
    <row r="42" customFormat="false" ht="13.8" hidden="false" customHeight="false" outlineLevel="0" collapsed="false">
      <c r="A42" s="1" t="n">
        <v>43952</v>
      </c>
      <c r="B42" s="2" t="n">
        <v>29562.5921052631</v>
      </c>
      <c r="C42" s="2" t="n">
        <v>1</v>
      </c>
      <c r="D42" s="2" t="n">
        <v>1</v>
      </c>
      <c r="E42" s="2" t="n">
        <v>1</v>
      </c>
      <c r="F42" s="2" t="n">
        <v>0</v>
      </c>
      <c r="G42" s="2" t="n">
        <v>0</v>
      </c>
      <c r="H42" s="7" t="n">
        <f aca="false">0.3*C42 +0.25*F42+0.2*D42+0.15*E42+0.1*G42</f>
        <v>0.65</v>
      </c>
      <c r="I42" s="2" t="n">
        <v>1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f aca="false">0.3*K42+0.25*L42+0.2*I42+0.15*J42+0.1*M42</f>
        <v>0.2</v>
      </c>
      <c r="O42" s="2" t="n">
        <v>1</v>
      </c>
      <c r="P42" s="2" t="n">
        <v>1</v>
      </c>
      <c r="Q42" s="2" t="n">
        <v>0</v>
      </c>
      <c r="R42" s="2" t="n">
        <v>0</v>
      </c>
      <c r="S42" s="2" t="n">
        <v>0</v>
      </c>
      <c r="T42" s="2" t="n">
        <f aca="false">0.35*O42+0.25*Q42+0.15*P42+0.15*S42+0.1*R42</f>
        <v>0.5</v>
      </c>
      <c r="U42" s="2" t="n">
        <f aca="false">H42*N42</f>
        <v>0.13</v>
      </c>
      <c r="V42" s="2" t="n">
        <f aca="false">H42*T42</f>
        <v>0.325</v>
      </c>
      <c r="W42" s="2" t="n">
        <f aca="false">N42*T42</f>
        <v>0.1</v>
      </c>
      <c r="X42" s="2" t="n">
        <f aca="false">H42*N42*T42</f>
        <v>0.065</v>
      </c>
      <c r="BC42" s="2"/>
      <c r="BD42" s="2"/>
      <c r="BE42" s="2"/>
      <c r="BF42" s="2"/>
      <c r="BL42" s="2"/>
      <c r="BM42" s="2"/>
      <c r="BN42" s="2"/>
      <c r="BO42" s="2"/>
      <c r="BP42" s="2"/>
    </row>
    <row r="43" customFormat="false" ht="13.8" hidden="false" customHeight="false" outlineLevel="0" collapsed="false">
      <c r="A43" s="1" t="n">
        <v>43983</v>
      </c>
      <c r="B43" s="2" t="n">
        <v>29074.3409090909</v>
      </c>
      <c r="C43" s="2" t="n">
        <v>1</v>
      </c>
      <c r="D43" s="2" t="n">
        <v>1</v>
      </c>
      <c r="E43" s="2" t="n">
        <v>1</v>
      </c>
      <c r="F43" s="2" t="n">
        <v>0</v>
      </c>
      <c r="G43" s="2" t="n">
        <v>0</v>
      </c>
      <c r="H43" s="7" t="n">
        <f aca="false">0.3*C43 +0.25*F43+0.2*D43+0.15*E43+0.1*G43</f>
        <v>0.65</v>
      </c>
      <c r="I43" s="2" t="n">
        <v>1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f aca="false">0.3*K43+0.25*L43+0.2*I43+0.15*J43+0.1*M43</f>
        <v>0.2</v>
      </c>
      <c r="O43" s="2" t="n">
        <v>1</v>
      </c>
      <c r="P43" s="2" t="n">
        <v>1</v>
      </c>
      <c r="Q43" s="2" t="n">
        <v>0</v>
      </c>
      <c r="R43" s="2" t="n">
        <v>0</v>
      </c>
      <c r="S43" s="2" t="n">
        <v>0</v>
      </c>
      <c r="T43" s="2" t="n">
        <f aca="false">0.35*O43+0.25*Q43+0.15*P43+0.15*S43+0.1*R43</f>
        <v>0.5</v>
      </c>
      <c r="U43" s="2" t="n">
        <f aca="false">H43*N43</f>
        <v>0.13</v>
      </c>
      <c r="V43" s="2" t="n">
        <f aca="false">H43*T43</f>
        <v>0.325</v>
      </c>
      <c r="W43" s="2" t="n">
        <f aca="false">N43*T43</f>
        <v>0.1</v>
      </c>
      <c r="X43" s="2" t="n">
        <f aca="false">H43*N43*T43</f>
        <v>0.065</v>
      </c>
      <c r="BC43" s="2"/>
      <c r="BD43" s="2"/>
      <c r="BE43" s="2"/>
      <c r="BF43" s="2"/>
      <c r="BL43" s="2"/>
      <c r="BM43" s="2"/>
      <c r="BN43" s="2"/>
      <c r="BO43" s="2"/>
      <c r="BP43" s="2"/>
    </row>
    <row r="44" customFormat="false" ht="13.8" hidden="false" customHeight="false" outlineLevel="0" collapsed="false">
      <c r="A44" s="1" t="n">
        <v>44013</v>
      </c>
      <c r="B44" s="2" t="n">
        <v>28517.0217391304</v>
      </c>
      <c r="C44" s="2" t="n">
        <v>1</v>
      </c>
      <c r="D44" s="2" t="n">
        <v>1</v>
      </c>
      <c r="E44" s="2" t="n">
        <v>1</v>
      </c>
      <c r="F44" s="2" t="n">
        <v>0</v>
      </c>
      <c r="G44" s="2" t="n">
        <v>0</v>
      </c>
      <c r="H44" s="7" t="n">
        <f aca="false">0.3*C44 +0.25*F44+0.2*D44+0.15*E44+0.1*G44</f>
        <v>0.65</v>
      </c>
      <c r="I44" s="2" t="n">
        <v>1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f aca="false">0.3*K44+0.25*L44+0.2*I44+0.15*J44+0.1*M44</f>
        <v>0.2</v>
      </c>
      <c r="O44" s="2" t="n">
        <v>1</v>
      </c>
      <c r="P44" s="2" t="n">
        <v>1</v>
      </c>
      <c r="Q44" s="2" t="n">
        <v>0</v>
      </c>
      <c r="R44" s="2" t="n">
        <v>0</v>
      </c>
      <c r="S44" s="2" t="n">
        <v>0</v>
      </c>
      <c r="T44" s="2" t="n">
        <f aca="false">0.35*O44+0.25*Q44+0.15*P44+0.15*S44+0.1*R44</f>
        <v>0.5</v>
      </c>
      <c r="U44" s="2" t="n">
        <f aca="false">H44*N44</f>
        <v>0.13</v>
      </c>
      <c r="V44" s="2" t="n">
        <f aca="false">H44*T44</f>
        <v>0.325</v>
      </c>
      <c r="W44" s="2" t="n">
        <f aca="false">N44*T44</f>
        <v>0.1</v>
      </c>
      <c r="X44" s="2" t="n">
        <f aca="false">H44*N44*T44</f>
        <v>0.065</v>
      </c>
      <c r="BC44" s="2"/>
      <c r="BD44" s="2"/>
      <c r="BE44" s="2"/>
      <c r="BF44" s="2"/>
      <c r="BL44" s="2"/>
      <c r="BM44" s="2"/>
      <c r="BN44" s="2"/>
      <c r="BO44" s="2"/>
      <c r="BP44" s="2"/>
    </row>
    <row r="45" customFormat="false" ht="13.8" hidden="false" customHeight="false" outlineLevel="0" collapsed="false">
      <c r="A45" s="1" t="n">
        <v>44044</v>
      </c>
      <c r="B45" s="2" t="n">
        <v>32914.8809523809</v>
      </c>
      <c r="C45" s="2" t="n">
        <v>1</v>
      </c>
      <c r="D45" s="2" t="n">
        <v>1</v>
      </c>
      <c r="E45" s="2" t="n">
        <v>1</v>
      </c>
      <c r="F45" s="2" t="n">
        <v>0</v>
      </c>
      <c r="G45" s="2" t="n">
        <v>0</v>
      </c>
      <c r="H45" s="7" t="n">
        <f aca="false">0.3*C45 +0.25*F45+0.2*D45+0.15*E45+0.1*G45</f>
        <v>0.65</v>
      </c>
      <c r="I45" s="2" t="n">
        <v>1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f aca="false">0.3*K45+0.25*L45+0.2*I45+0.15*J45+0.1*M45</f>
        <v>0.2</v>
      </c>
      <c r="O45" s="2" t="n">
        <v>1</v>
      </c>
      <c r="P45" s="2" t="n">
        <v>1</v>
      </c>
      <c r="Q45" s="2" t="n">
        <v>0</v>
      </c>
      <c r="R45" s="2" t="n">
        <v>0</v>
      </c>
      <c r="S45" s="2" t="n">
        <v>0</v>
      </c>
      <c r="T45" s="2" t="n">
        <f aca="false">0.35*O45+0.25*Q45+0.15*P45+0.15*S45+0.1*R45</f>
        <v>0.5</v>
      </c>
      <c r="U45" s="2" t="n">
        <f aca="false">H45*N45</f>
        <v>0.13</v>
      </c>
      <c r="V45" s="2" t="n">
        <f aca="false">H45*T45</f>
        <v>0.325</v>
      </c>
      <c r="W45" s="2" t="n">
        <f aca="false">N45*T45</f>
        <v>0.1</v>
      </c>
      <c r="X45" s="2" t="n">
        <f aca="false">H45*N45*T45</f>
        <v>0.065</v>
      </c>
      <c r="BC45" s="2"/>
      <c r="BD45" s="2"/>
      <c r="BE45" s="2"/>
      <c r="BF45" s="2"/>
      <c r="BL45" s="2"/>
      <c r="BM45" s="2"/>
      <c r="BN45" s="2"/>
      <c r="BO45" s="2"/>
      <c r="BP45" s="2"/>
    </row>
    <row r="46" customFormat="false" ht="13.8" hidden="false" customHeight="false" outlineLevel="0" collapsed="false">
      <c r="A46" s="1" t="n">
        <v>44075</v>
      </c>
      <c r="B46" s="2" t="n">
        <v>33482.1022727272</v>
      </c>
      <c r="C46" s="2" t="n">
        <v>1</v>
      </c>
      <c r="D46" s="2" t="n">
        <v>1</v>
      </c>
      <c r="E46" s="2" t="n">
        <v>1</v>
      </c>
      <c r="F46" s="2" t="n">
        <v>0</v>
      </c>
      <c r="G46" s="2" t="n">
        <v>0</v>
      </c>
      <c r="H46" s="7" t="n">
        <f aca="false">0.3*C46 +0.25*F46+0.2*D46+0.15*E46+0.1*G46</f>
        <v>0.65</v>
      </c>
      <c r="I46" s="2" t="n">
        <v>1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f aca="false">0.3*K46+0.25*L46+0.2*I46+0.15*J46+0.1*M46</f>
        <v>0.2</v>
      </c>
      <c r="O46" s="2" t="n">
        <v>1</v>
      </c>
      <c r="P46" s="2" t="n">
        <v>1</v>
      </c>
      <c r="Q46" s="2" t="n">
        <v>0</v>
      </c>
      <c r="R46" s="2" t="n">
        <v>0</v>
      </c>
      <c r="S46" s="2" t="n">
        <v>0</v>
      </c>
      <c r="T46" s="2" t="n">
        <f aca="false">0.35*O46+0.25*Q46+0.15*P46+0.15*S46+0.1*R46</f>
        <v>0.5</v>
      </c>
      <c r="U46" s="2" t="n">
        <f aca="false">H46*N46</f>
        <v>0.13</v>
      </c>
      <c r="V46" s="2" t="n">
        <f aca="false">H46*T46</f>
        <v>0.325</v>
      </c>
      <c r="W46" s="2" t="n">
        <f aca="false">N46*T46</f>
        <v>0.1</v>
      </c>
      <c r="X46" s="2" t="n">
        <f aca="false">H46*N46*T46</f>
        <v>0.065</v>
      </c>
      <c r="BC46" s="2"/>
      <c r="BD46" s="2"/>
      <c r="BE46" s="2"/>
      <c r="BF46" s="2"/>
      <c r="BL46" s="2"/>
      <c r="BM46" s="2"/>
      <c r="BN46" s="2"/>
      <c r="BO46" s="2"/>
      <c r="BP46" s="2"/>
    </row>
    <row r="47" customFormat="false" ht="13.8" hidden="false" customHeight="false" outlineLevel="0" collapsed="false">
      <c r="A47" s="1" t="n">
        <v>44105</v>
      </c>
      <c r="B47" s="2" t="n">
        <v>33227.875</v>
      </c>
      <c r="C47" s="2" t="n">
        <v>1</v>
      </c>
      <c r="D47" s="2" t="n">
        <v>1</v>
      </c>
      <c r="E47" s="2" t="n">
        <v>1</v>
      </c>
      <c r="F47" s="2" t="n">
        <v>0</v>
      </c>
      <c r="G47" s="2" t="n">
        <v>0</v>
      </c>
      <c r="H47" s="7" t="n">
        <f aca="false">0.3*C47 +0.25*F47+0.2*D47+0.15*E47+0.1*G47</f>
        <v>0.65</v>
      </c>
      <c r="I47" s="2" t="n">
        <v>1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f aca="false">0.3*K47+0.25*L47+0.2*I47+0.15*J47+0.1*M47</f>
        <v>0.2</v>
      </c>
      <c r="O47" s="2" t="n">
        <v>1</v>
      </c>
      <c r="P47" s="2" t="n">
        <v>1</v>
      </c>
      <c r="Q47" s="2" t="n">
        <v>0</v>
      </c>
      <c r="R47" s="2" t="n">
        <v>0</v>
      </c>
      <c r="S47" s="2" t="n">
        <v>0</v>
      </c>
      <c r="T47" s="2" t="n">
        <f aca="false">0.35*O47+0.25*Q47+0.15*P47+0.15*S47+0.1*R47</f>
        <v>0.5</v>
      </c>
      <c r="U47" s="2" t="n">
        <f aca="false">H47*N47</f>
        <v>0.13</v>
      </c>
      <c r="V47" s="2" t="n">
        <f aca="false">H47*T47</f>
        <v>0.325</v>
      </c>
      <c r="W47" s="2" t="n">
        <f aca="false">N47*T47</f>
        <v>0.1</v>
      </c>
      <c r="X47" s="2" t="n">
        <f aca="false">H47*N47*T47</f>
        <v>0.065</v>
      </c>
      <c r="BC47" s="2"/>
      <c r="BD47" s="2"/>
      <c r="BE47" s="2"/>
      <c r="BF47" s="2"/>
      <c r="BL47" s="2"/>
      <c r="BM47" s="2"/>
      <c r="BN47" s="2"/>
      <c r="BO47" s="2"/>
      <c r="BP47" s="2"/>
    </row>
    <row r="48" customFormat="false" ht="13.8" hidden="false" customHeight="false" outlineLevel="0" collapsed="false">
      <c r="A48" s="1" t="n">
        <v>44136</v>
      </c>
      <c r="B48" s="2" t="n">
        <v>32238.8809523809</v>
      </c>
      <c r="C48" s="2" t="n">
        <v>1</v>
      </c>
      <c r="D48" s="2" t="n">
        <v>1</v>
      </c>
      <c r="E48" s="2" t="n">
        <v>1</v>
      </c>
      <c r="F48" s="2" t="n">
        <v>0</v>
      </c>
      <c r="G48" s="2" t="n">
        <v>0</v>
      </c>
      <c r="H48" s="7" t="n">
        <f aca="false">0.3*C48 +0.25*F48+0.2*D48+0.15*E48+0.1*G48</f>
        <v>0.65</v>
      </c>
      <c r="I48" s="2" t="n">
        <v>1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f aca="false">0.3*K48+0.25*L48+0.2*I48+0.15*J48+0.1*M48</f>
        <v>0.2</v>
      </c>
      <c r="O48" s="2" t="n">
        <v>1</v>
      </c>
      <c r="P48" s="2" t="n">
        <v>1</v>
      </c>
      <c r="Q48" s="2" t="n">
        <v>0</v>
      </c>
      <c r="R48" s="2" t="n">
        <v>0</v>
      </c>
      <c r="S48" s="2" t="n">
        <v>0</v>
      </c>
      <c r="T48" s="2" t="n">
        <f aca="false">0.35*O48+0.25*Q48+0.15*P48+0.15*S48+0.1*R48</f>
        <v>0.5</v>
      </c>
      <c r="U48" s="2" t="n">
        <f aca="false">H48*N48</f>
        <v>0.13</v>
      </c>
      <c r="V48" s="2" t="n">
        <f aca="false">H48*T48</f>
        <v>0.325</v>
      </c>
      <c r="W48" s="2" t="n">
        <f aca="false">N48*T48</f>
        <v>0.1</v>
      </c>
      <c r="X48" s="2" t="n">
        <f aca="false">H48*N48*T48</f>
        <v>0.065</v>
      </c>
      <c r="BC48" s="2"/>
      <c r="BD48" s="2"/>
      <c r="BE48" s="2"/>
      <c r="BF48" s="2"/>
      <c r="BL48" s="2"/>
      <c r="BM48" s="2"/>
      <c r="BN48" s="2"/>
      <c r="BO48" s="2"/>
      <c r="BP48" s="2"/>
    </row>
    <row r="49" customFormat="false" ht="13.8" hidden="false" customHeight="false" outlineLevel="0" collapsed="false">
      <c r="A49" s="1" t="n">
        <v>44166</v>
      </c>
      <c r="B49" s="2" t="n">
        <v>31882.2857142857</v>
      </c>
      <c r="C49" s="2" t="n">
        <v>1</v>
      </c>
      <c r="D49" s="2" t="n">
        <v>1</v>
      </c>
      <c r="E49" s="2" t="n">
        <v>1</v>
      </c>
      <c r="F49" s="2" t="n">
        <v>0</v>
      </c>
      <c r="G49" s="2" t="n">
        <v>0</v>
      </c>
      <c r="H49" s="7" t="n">
        <f aca="false">0.3*C49 +0.25*F49+0.2*D49+0.15*E49+0.1*G49</f>
        <v>0.65</v>
      </c>
      <c r="I49" s="2" t="n">
        <v>1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f aca="false">0.3*K49+0.25*L49+0.2*I49+0.15*J49+0.1*M49</f>
        <v>0.2</v>
      </c>
      <c r="O49" s="2" t="n">
        <v>1</v>
      </c>
      <c r="P49" s="2" t="n">
        <v>1</v>
      </c>
      <c r="Q49" s="2" t="n">
        <v>0</v>
      </c>
      <c r="R49" s="2" t="n">
        <v>0</v>
      </c>
      <c r="S49" s="2" t="n">
        <v>0</v>
      </c>
      <c r="T49" s="2" t="n">
        <f aca="false">0.35*O49+0.25*Q49+0.15*P49+0.15*S49+0.1*R49</f>
        <v>0.5</v>
      </c>
      <c r="U49" s="2" t="n">
        <f aca="false">H49*N49</f>
        <v>0.13</v>
      </c>
      <c r="V49" s="2" t="n">
        <f aca="false">H49*T49</f>
        <v>0.325</v>
      </c>
      <c r="W49" s="2" t="n">
        <f aca="false">N49*T49</f>
        <v>0.1</v>
      </c>
      <c r="X49" s="2" t="n">
        <f aca="false">H49*N49*T49</f>
        <v>0.065</v>
      </c>
      <c r="BC49" s="2"/>
      <c r="BD49" s="2"/>
      <c r="BE49" s="2"/>
      <c r="BF49" s="2"/>
      <c r="BL49" s="2"/>
      <c r="BM49" s="2"/>
      <c r="BN49" s="2"/>
      <c r="BO49" s="2"/>
      <c r="BP49" s="2"/>
    </row>
    <row r="50" customFormat="false" ht="13.8" hidden="false" customHeight="false" outlineLevel="0" collapsed="false">
      <c r="A50" s="1" t="n">
        <v>44197</v>
      </c>
      <c r="B50" s="2" t="n">
        <v>37883.775</v>
      </c>
      <c r="C50" s="2" t="n">
        <v>1</v>
      </c>
      <c r="D50" s="2" t="n">
        <v>1</v>
      </c>
      <c r="E50" s="2" t="n">
        <v>1</v>
      </c>
      <c r="F50" s="2" t="n">
        <v>0</v>
      </c>
      <c r="G50" s="2" t="n">
        <v>0</v>
      </c>
      <c r="H50" s="7" t="n">
        <f aca="false">0.3*C50 +0.25*F50+0.2*D50+0.15*E50+0.1*G50</f>
        <v>0.65</v>
      </c>
      <c r="I50" s="2" t="n">
        <v>1</v>
      </c>
      <c r="J50" s="2" t="n">
        <v>1</v>
      </c>
      <c r="K50" s="2" t="n">
        <v>0</v>
      </c>
      <c r="L50" s="2" t="n">
        <v>0</v>
      </c>
      <c r="M50" s="2" t="n">
        <v>0</v>
      </c>
      <c r="N50" s="2" t="n">
        <f aca="false">0.3*K50+0.25*L50+0.2*I50+0.15*J50+0.1*M50</f>
        <v>0.35</v>
      </c>
      <c r="O50" s="2" t="n">
        <v>1</v>
      </c>
      <c r="P50" s="2" t="n">
        <v>1</v>
      </c>
      <c r="Q50" s="2" t="n">
        <v>1</v>
      </c>
      <c r="R50" s="2" t="n">
        <v>0</v>
      </c>
      <c r="S50" s="2" t="n">
        <v>0</v>
      </c>
      <c r="T50" s="2" t="n">
        <f aca="false">0.35*O50+0.25*Q50+0.15*P50+0.15*S50+0.1*R50</f>
        <v>0.75</v>
      </c>
      <c r="U50" s="2" t="n">
        <f aca="false">H50*N50</f>
        <v>0.2275</v>
      </c>
      <c r="V50" s="2" t="n">
        <f aca="false">H50*T50</f>
        <v>0.4875</v>
      </c>
      <c r="W50" s="2" t="n">
        <f aca="false">N50*T50</f>
        <v>0.2625</v>
      </c>
      <c r="X50" s="2" t="n">
        <f aca="false">H50*N50*T50</f>
        <v>0.170625</v>
      </c>
      <c r="BC50" s="2"/>
      <c r="BD50" s="2"/>
      <c r="BE50" s="2"/>
      <c r="BF50" s="2"/>
      <c r="BL50" s="2"/>
      <c r="BM50" s="2"/>
      <c r="BN50" s="2"/>
      <c r="BO50" s="2"/>
      <c r="BP50" s="2"/>
    </row>
    <row r="51" customFormat="false" ht="13.8" hidden="false" customHeight="false" outlineLevel="0" collapsed="false">
      <c r="A51" s="1" t="n">
        <v>44228</v>
      </c>
      <c r="B51" s="2" t="n">
        <v>47516.45</v>
      </c>
      <c r="C51" s="2" t="n">
        <v>1</v>
      </c>
      <c r="D51" s="2" t="n">
        <v>1</v>
      </c>
      <c r="E51" s="2" t="n">
        <v>1</v>
      </c>
      <c r="F51" s="2" t="n">
        <v>0</v>
      </c>
      <c r="G51" s="2" t="n">
        <v>0</v>
      </c>
      <c r="H51" s="7" t="n">
        <f aca="false">0.3*C51 +0.25*F51+0.2*D51+0.15*E51+0.1*G51</f>
        <v>0.65</v>
      </c>
      <c r="I51" s="2" t="n">
        <v>1</v>
      </c>
      <c r="J51" s="2" t="n">
        <v>1</v>
      </c>
      <c r="K51" s="2" t="n">
        <v>0</v>
      </c>
      <c r="L51" s="2" t="n">
        <v>0</v>
      </c>
      <c r="M51" s="2" t="n">
        <v>0</v>
      </c>
      <c r="N51" s="2" t="n">
        <f aca="false">0.3*K51+0.25*L51+0.2*I51+0.15*J51+0.1*M51</f>
        <v>0.35</v>
      </c>
      <c r="O51" s="2" t="n">
        <v>1</v>
      </c>
      <c r="P51" s="2" t="n">
        <v>1</v>
      </c>
      <c r="Q51" s="2" t="n">
        <v>1</v>
      </c>
      <c r="R51" s="2" t="n">
        <v>0</v>
      </c>
      <c r="S51" s="2" t="n">
        <v>0</v>
      </c>
      <c r="T51" s="2" t="n">
        <f aca="false">0.35*O51+0.25*Q51+0.15*P51+0.15*S51+0.1*R51</f>
        <v>0.75</v>
      </c>
      <c r="U51" s="2" t="n">
        <f aca="false">H51*N51</f>
        <v>0.2275</v>
      </c>
      <c r="V51" s="2" t="n">
        <f aca="false">H51*T51</f>
        <v>0.4875</v>
      </c>
      <c r="W51" s="2" t="n">
        <f aca="false">N51*T51</f>
        <v>0.2625</v>
      </c>
      <c r="X51" s="2" t="n">
        <f aca="false">H51*N51*T51</f>
        <v>0.170625</v>
      </c>
      <c r="BC51" s="2"/>
      <c r="BD51" s="2"/>
      <c r="BE51" s="2"/>
      <c r="BF51" s="2"/>
      <c r="BL51" s="2"/>
      <c r="BM51" s="2"/>
      <c r="BN51" s="2"/>
      <c r="BO51" s="2"/>
      <c r="BP51" s="2"/>
    </row>
    <row r="52" customFormat="false" ht="13.8" hidden="false" customHeight="false" outlineLevel="0" collapsed="false">
      <c r="A52" s="1" t="n">
        <v>44256</v>
      </c>
      <c r="B52" s="2" t="n">
        <v>52414.6739130434</v>
      </c>
      <c r="C52" s="2" t="n">
        <v>1</v>
      </c>
      <c r="D52" s="2" t="n">
        <v>1</v>
      </c>
      <c r="E52" s="2" t="n">
        <v>1</v>
      </c>
      <c r="F52" s="2" t="n">
        <v>0</v>
      </c>
      <c r="G52" s="2" t="n">
        <v>0</v>
      </c>
      <c r="H52" s="7" t="n">
        <f aca="false">0.3*C52 +0.25*F52+0.2*D52+0.15*E52+0.1*G52</f>
        <v>0.65</v>
      </c>
      <c r="I52" s="2" t="n">
        <v>1</v>
      </c>
      <c r="J52" s="2" t="n">
        <v>1</v>
      </c>
      <c r="K52" s="2" t="n">
        <v>0</v>
      </c>
      <c r="L52" s="2" t="n">
        <v>0</v>
      </c>
      <c r="M52" s="2" t="n">
        <v>0</v>
      </c>
      <c r="N52" s="2" t="n">
        <f aca="false">0.3*K52+0.25*L52+0.2*I52+0.15*J52+0.1*M52</f>
        <v>0.35</v>
      </c>
      <c r="O52" s="2" t="n">
        <v>1</v>
      </c>
      <c r="P52" s="2" t="n">
        <v>1</v>
      </c>
      <c r="Q52" s="2" t="n">
        <v>1</v>
      </c>
      <c r="R52" s="2" t="n">
        <v>0</v>
      </c>
      <c r="S52" s="2" t="n">
        <v>0</v>
      </c>
      <c r="T52" s="2" t="n">
        <f aca="false">0.35*O52+0.25*Q52+0.15*P52+0.15*S52+0.1*R52</f>
        <v>0.75</v>
      </c>
      <c r="U52" s="2" t="n">
        <f aca="false">H52*N52</f>
        <v>0.2275</v>
      </c>
      <c r="V52" s="2" t="n">
        <f aca="false">H52*T52</f>
        <v>0.4875</v>
      </c>
      <c r="W52" s="2" t="n">
        <f aca="false">N52*T52</f>
        <v>0.2625</v>
      </c>
      <c r="X52" s="2" t="n">
        <f aca="false">H52*N52*T52</f>
        <v>0.170625</v>
      </c>
      <c r="BC52" s="2"/>
      <c r="BD52" s="2"/>
      <c r="BE52" s="2"/>
      <c r="BF52" s="2"/>
      <c r="BL52" s="2"/>
      <c r="BM52" s="2"/>
      <c r="BN52" s="2"/>
      <c r="BO52" s="2"/>
      <c r="BP52" s="2"/>
    </row>
    <row r="53" customFormat="false" ht="13.8" hidden="false" customHeight="false" outlineLevel="0" collapsed="false">
      <c r="A53" s="1" t="n">
        <v>44287</v>
      </c>
      <c r="B53" s="2" t="n">
        <v>49020.7</v>
      </c>
      <c r="C53" s="2" t="n">
        <v>1</v>
      </c>
      <c r="D53" s="2" t="n">
        <v>1</v>
      </c>
      <c r="E53" s="2" t="n">
        <v>1</v>
      </c>
      <c r="F53" s="2" t="n">
        <v>0</v>
      </c>
      <c r="G53" s="2" t="n">
        <v>0</v>
      </c>
      <c r="H53" s="7" t="n">
        <f aca="false">0.3*C53 +0.25*F53+0.2*D53+0.15*E53+0.1*G53</f>
        <v>0.65</v>
      </c>
      <c r="I53" s="2" t="n">
        <v>1</v>
      </c>
      <c r="J53" s="2" t="n">
        <v>1</v>
      </c>
      <c r="K53" s="2" t="n">
        <v>0</v>
      </c>
      <c r="L53" s="2" t="n">
        <v>0</v>
      </c>
      <c r="M53" s="2" t="n">
        <v>0</v>
      </c>
      <c r="N53" s="2" t="n">
        <f aca="false">0.3*K53+0.25*L53+0.2*I53+0.15*J53+0.1*M53</f>
        <v>0.35</v>
      </c>
      <c r="O53" s="2" t="n">
        <v>1</v>
      </c>
      <c r="P53" s="2" t="n">
        <v>1</v>
      </c>
      <c r="Q53" s="2" t="n">
        <v>1</v>
      </c>
      <c r="R53" s="2" t="n">
        <v>0</v>
      </c>
      <c r="S53" s="2" t="n">
        <v>0</v>
      </c>
      <c r="T53" s="2" t="n">
        <f aca="false">0.35*O53+0.25*Q53+0.15*P53+0.15*S53+0.1*R53</f>
        <v>0.75</v>
      </c>
      <c r="U53" s="2" t="n">
        <f aca="false">H53*N53</f>
        <v>0.2275</v>
      </c>
      <c r="V53" s="2" t="n">
        <f aca="false">H53*T53</f>
        <v>0.4875</v>
      </c>
      <c r="W53" s="2" t="n">
        <f aca="false">N53*T53</f>
        <v>0.2625</v>
      </c>
      <c r="X53" s="2" t="n">
        <f aca="false">H53*N53*T53</f>
        <v>0.170625</v>
      </c>
      <c r="BC53" s="2"/>
      <c r="BD53" s="2"/>
      <c r="BE53" s="2"/>
      <c r="BF53" s="2"/>
      <c r="BL53" s="2"/>
      <c r="BM53" s="2"/>
      <c r="BN53" s="2"/>
      <c r="BO53" s="2"/>
      <c r="BP53" s="2"/>
    </row>
    <row r="54" customFormat="false" ht="13.8" hidden="false" customHeight="false" outlineLevel="0" collapsed="false">
      <c r="A54" s="1" t="n">
        <v>44317</v>
      </c>
      <c r="B54" s="2" t="n">
        <v>44214.85</v>
      </c>
      <c r="C54" s="2" t="n">
        <v>1</v>
      </c>
      <c r="D54" s="2" t="n">
        <v>1</v>
      </c>
      <c r="E54" s="2" t="n">
        <v>1</v>
      </c>
      <c r="F54" s="2" t="n">
        <v>0</v>
      </c>
      <c r="G54" s="2" t="n">
        <v>0</v>
      </c>
      <c r="H54" s="7" t="n">
        <f aca="false">0.3*C54 +0.25*F54+0.2*D54+0.15*E54+0.1*G54</f>
        <v>0.65</v>
      </c>
      <c r="I54" s="2" t="n">
        <v>1</v>
      </c>
      <c r="J54" s="2" t="n">
        <v>1</v>
      </c>
      <c r="K54" s="2" t="n">
        <v>0</v>
      </c>
      <c r="L54" s="2" t="n">
        <v>0</v>
      </c>
      <c r="M54" s="2" t="n">
        <v>0</v>
      </c>
      <c r="N54" s="2" t="n">
        <f aca="false">0.3*K54+0.25*L54+0.2*I54+0.15*J54+0.1*M54</f>
        <v>0.35</v>
      </c>
      <c r="O54" s="2" t="n">
        <v>1</v>
      </c>
      <c r="P54" s="2" t="n">
        <v>1</v>
      </c>
      <c r="Q54" s="2" t="n">
        <v>1</v>
      </c>
      <c r="R54" s="2" t="n">
        <v>0</v>
      </c>
      <c r="S54" s="2" t="n">
        <v>0</v>
      </c>
      <c r="T54" s="2" t="n">
        <f aca="false">0.35*O54+0.25*Q54+0.15*P54+0.15*S54+0.1*R54</f>
        <v>0.75</v>
      </c>
      <c r="U54" s="2" t="n">
        <f aca="false">H54*N54</f>
        <v>0.2275</v>
      </c>
      <c r="V54" s="2" t="n">
        <f aca="false">H54*T54</f>
        <v>0.4875</v>
      </c>
      <c r="W54" s="2" t="n">
        <f aca="false">N54*T54</f>
        <v>0.2625</v>
      </c>
      <c r="X54" s="2" t="n">
        <f aca="false">H54*N54*T54</f>
        <v>0.170625</v>
      </c>
      <c r="BC54" s="2"/>
      <c r="BD54" s="2"/>
      <c r="BE54" s="2"/>
      <c r="BF54" s="2"/>
      <c r="BL54" s="2"/>
      <c r="BM54" s="2"/>
      <c r="BN54" s="2"/>
      <c r="BO54" s="2"/>
      <c r="BP54" s="2"/>
    </row>
    <row r="55" customFormat="false" ht="13.8" hidden="false" customHeight="false" outlineLevel="0" collapsed="false">
      <c r="A55" s="1" t="n">
        <v>44348</v>
      </c>
      <c r="B55" s="2" t="n">
        <v>44149.3636363636</v>
      </c>
      <c r="C55" s="2" t="n">
        <v>1</v>
      </c>
      <c r="D55" s="2" t="n">
        <v>1</v>
      </c>
      <c r="E55" s="2" t="n">
        <v>1</v>
      </c>
      <c r="F55" s="2" t="n">
        <v>0</v>
      </c>
      <c r="G55" s="2" t="n">
        <v>0</v>
      </c>
      <c r="H55" s="7" t="n">
        <f aca="false">0.3*C55 +0.25*F55+0.2*D55+0.15*E55+0.1*G55</f>
        <v>0.65</v>
      </c>
      <c r="I55" s="2" t="n">
        <v>1</v>
      </c>
      <c r="J55" s="2" t="n">
        <v>1</v>
      </c>
      <c r="K55" s="2" t="n">
        <v>0</v>
      </c>
      <c r="L55" s="2" t="n">
        <v>0</v>
      </c>
      <c r="M55" s="2" t="n">
        <v>0</v>
      </c>
      <c r="N55" s="2" t="n">
        <f aca="false">0.3*K55+0.25*L55+0.2*I55+0.15*J55+0.1*M55</f>
        <v>0.35</v>
      </c>
      <c r="O55" s="2" t="n">
        <v>1</v>
      </c>
      <c r="P55" s="2" t="n">
        <v>1</v>
      </c>
      <c r="Q55" s="2" t="n">
        <v>1</v>
      </c>
      <c r="R55" s="2" t="n">
        <v>1</v>
      </c>
      <c r="S55" s="2" t="n">
        <v>0</v>
      </c>
      <c r="T55" s="2" t="n">
        <f aca="false">0.35*O55+0.25*Q55+0.15*P55+0.15*S55+0.1*R55</f>
        <v>0.85</v>
      </c>
      <c r="U55" s="2" t="n">
        <f aca="false">H55*N55</f>
        <v>0.2275</v>
      </c>
      <c r="V55" s="2" t="n">
        <f aca="false">H55*T55</f>
        <v>0.5525</v>
      </c>
      <c r="W55" s="2" t="n">
        <f aca="false">N55*T55</f>
        <v>0.2975</v>
      </c>
      <c r="X55" s="2" t="n">
        <f aca="false">H55*N55*T55</f>
        <v>0.193375</v>
      </c>
      <c r="BC55" s="2"/>
      <c r="BD55" s="2"/>
      <c r="BE55" s="2"/>
      <c r="BF55" s="2"/>
      <c r="BL55" s="2"/>
      <c r="BM55" s="2"/>
      <c r="BN55" s="2"/>
      <c r="BO55" s="2"/>
      <c r="BP55" s="2"/>
    </row>
    <row r="56" customFormat="false" ht="13.8" hidden="false" customHeight="false" outlineLevel="0" collapsed="false">
      <c r="A56" s="1" t="n">
        <v>44378</v>
      </c>
      <c r="B56" s="2" t="n">
        <v>51649.0227272727</v>
      </c>
      <c r="C56" s="2" t="n">
        <v>1</v>
      </c>
      <c r="D56" s="2" t="n">
        <v>1</v>
      </c>
      <c r="E56" s="2" t="n">
        <v>1</v>
      </c>
      <c r="F56" s="2" t="n">
        <v>0</v>
      </c>
      <c r="G56" s="2" t="n">
        <v>0</v>
      </c>
      <c r="H56" s="7" t="n">
        <f aca="false">0.3*C56 +0.25*F56+0.2*D56+0.15*E56+0.1*G56</f>
        <v>0.65</v>
      </c>
      <c r="I56" s="2" t="n">
        <v>1</v>
      </c>
      <c r="J56" s="2" t="n">
        <v>1</v>
      </c>
      <c r="K56" s="2" t="n">
        <v>0</v>
      </c>
      <c r="L56" s="2" t="n">
        <v>0</v>
      </c>
      <c r="M56" s="2" t="n">
        <v>0</v>
      </c>
      <c r="N56" s="2" t="n">
        <f aca="false">0.3*K56+0.25*L56+0.2*I56+0.15*J56+0.1*M56</f>
        <v>0.35</v>
      </c>
      <c r="O56" s="2" t="n">
        <v>1</v>
      </c>
      <c r="P56" s="2" t="n">
        <v>1</v>
      </c>
      <c r="Q56" s="2" t="n">
        <v>1</v>
      </c>
      <c r="R56" s="2" t="n">
        <v>1</v>
      </c>
      <c r="S56" s="2" t="n">
        <v>0</v>
      </c>
      <c r="T56" s="2" t="n">
        <f aca="false">0.35*O56+0.25*Q56+0.15*P56+0.15*S56+0.1*R56</f>
        <v>0.85</v>
      </c>
      <c r="U56" s="2" t="n">
        <f aca="false">H56*N56</f>
        <v>0.2275</v>
      </c>
      <c r="V56" s="2" t="n">
        <f aca="false">H56*T56</f>
        <v>0.5525</v>
      </c>
      <c r="W56" s="2" t="n">
        <f aca="false">N56*T56</f>
        <v>0.2975</v>
      </c>
      <c r="X56" s="2" t="n">
        <f aca="false">H56*N56*T56</f>
        <v>0.193375</v>
      </c>
      <c r="BC56" s="2"/>
      <c r="BD56" s="2"/>
      <c r="BE56" s="2"/>
      <c r="BF56" s="2"/>
      <c r="BL56" s="2"/>
      <c r="BM56" s="2"/>
      <c r="BN56" s="2"/>
      <c r="BO56" s="2"/>
      <c r="BP56" s="2"/>
    </row>
    <row r="57" customFormat="false" ht="13.8" hidden="false" customHeight="false" outlineLevel="0" collapsed="false">
      <c r="A57" s="1" t="n">
        <v>44409</v>
      </c>
      <c r="B57" s="2" t="n">
        <v>51640.5</v>
      </c>
      <c r="C57" s="2" t="n">
        <v>1</v>
      </c>
      <c r="D57" s="2" t="n">
        <v>1</v>
      </c>
      <c r="E57" s="2" t="n">
        <v>1</v>
      </c>
      <c r="F57" s="2" t="n">
        <v>0</v>
      </c>
      <c r="G57" s="2" t="n">
        <v>0</v>
      </c>
      <c r="H57" s="7" t="n">
        <f aca="false">0.3*C57 +0.25*F57+0.2*D57+0.15*E57+0.1*G57</f>
        <v>0.65</v>
      </c>
      <c r="I57" s="2" t="n">
        <v>1</v>
      </c>
      <c r="J57" s="2" t="n">
        <v>1</v>
      </c>
      <c r="K57" s="2" t="n">
        <v>0</v>
      </c>
      <c r="L57" s="2" t="n">
        <v>0</v>
      </c>
      <c r="M57" s="2" t="n">
        <v>0</v>
      </c>
      <c r="N57" s="2" t="n">
        <f aca="false">0.3*K57+0.25*L57+0.2*I57+0.15*J57+0.1*M57</f>
        <v>0.35</v>
      </c>
      <c r="O57" s="2" t="n">
        <v>1</v>
      </c>
      <c r="P57" s="2" t="n">
        <v>1</v>
      </c>
      <c r="Q57" s="2" t="n">
        <v>1</v>
      </c>
      <c r="R57" s="2" t="n">
        <v>1</v>
      </c>
      <c r="S57" s="2" t="n">
        <v>0</v>
      </c>
      <c r="T57" s="2" t="n">
        <f aca="false">0.35*O57+0.25*Q57+0.15*P57+0.15*S57+0.1*R57</f>
        <v>0.85</v>
      </c>
      <c r="U57" s="2" t="n">
        <f aca="false">H57*N57</f>
        <v>0.2275</v>
      </c>
      <c r="V57" s="2" t="n">
        <f aca="false">H57*T57</f>
        <v>0.5525</v>
      </c>
      <c r="W57" s="2" t="n">
        <f aca="false">N57*T57</f>
        <v>0.2975</v>
      </c>
      <c r="X57" s="2" t="n">
        <f aca="false">H57*N57*T57</f>
        <v>0.193375</v>
      </c>
      <c r="BC57" s="2"/>
      <c r="BD57" s="2"/>
      <c r="BE57" s="2"/>
      <c r="BF57" s="2"/>
      <c r="BL57" s="2"/>
      <c r="BM57" s="2"/>
      <c r="BN57" s="2"/>
      <c r="BO57" s="2"/>
      <c r="BP57" s="2"/>
    </row>
    <row r="58" customFormat="false" ht="13.8" hidden="false" customHeight="false" outlineLevel="0" collapsed="false">
      <c r="A58" s="1" t="n">
        <v>44440</v>
      </c>
      <c r="B58" s="2" t="n">
        <v>51797.909090909</v>
      </c>
      <c r="C58" s="2" t="n">
        <v>1</v>
      </c>
      <c r="D58" s="2" t="n">
        <v>1</v>
      </c>
      <c r="E58" s="2" t="n">
        <v>1</v>
      </c>
      <c r="F58" s="2" t="n">
        <v>0</v>
      </c>
      <c r="G58" s="2" t="n">
        <v>0</v>
      </c>
      <c r="H58" s="7" t="n">
        <f aca="false">0.3*C58 +0.25*F58+0.2*D58+0.15*E58+0.1*G58</f>
        <v>0.65</v>
      </c>
      <c r="I58" s="2" t="n">
        <v>1</v>
      </c>
      <c r="J58" s="2" t="n">
        <v>1</v>
      </c>
      <c r="K58" s="2" t="n">
        <v>0</v>
      </c>
      <c r="L58" s="2" t="n">
        <v>0</v>
      </c>
      <c r="M58" s="2" t="n">
        <v>0</v>
      </c>
      <c r="N58" s="2" t="n">
        <f aca="false">0.3*K58+0.25*L58+0.2*I58+0.15*J58+0.1*M58</f>
        <v>0.35</v>
      </c>
      <c r="O58" s="2" t="n">
        <v>1</v>
      </c>
      <c r="P58" s="2" t="n">
        <v>1</v>
      </c>
      <c r="Q58" s="2" t="n">
        <v>1</v>
      </c>
      <c r="R58" s="2" t="n">
        <v>1</v>
      </c>
      <c r="S58" s="2" t="n">
        <v>0</v>
      </c>
      <c r="T58" s="2" t="n">
        <f aca="false">0.35*O58+0.25*Q58+0.15*P58+0.15*S58+0.1*R58</f>
        <v>0.85</v>
      </c>
      <c r="U58" s="2" t="n">
        <f aca="false">H58*N58</f>
        <v>0.2275</v>
      </c>
      <c r="V58" s="2" t="n">
        <f aca="false">H58*T58</f>
        <v>0.5525</v>
      </c>
      <c r="W58" s="2" t="n">
        <f aca="false">N58*T58</f>
        <v>0.2975</v>
      </c>
      <c r="X58" s="2" t="n">
        <f aca="false">H58*N58*T58</f>
        <v>0.193375</v>
      </c>
      <c r="BC58" s="2"/>
      <c r="BD58" s="2"/>
      <c r="BE58" s="2"/>
      <c r="BF58" s="2"/>
      <c r="BL58" s="2"/>
      <c r="BM58" s="2"/>
      <c r="BN58" s="2"/>
      <c r="BO58" s="2"/>
      <c r="BP58" s="2"/>
    </row>
    <row r="59" customFormat="false" ht="13.8" hidden="false" customHeight="false" outlineLevel="0" collapsed="false">
      <c r="A59" s="1" t="n">
        <v>44470</v>
      </c>
      <c r="B59" s="2" t="n">
        <v>54779.2857142857</v>
      </c>
      <c r="C59" s="2" t="n">
        <v>1</v>
      </c>
      <c r="D59" s="2" t="n">
        <v>1</v>
      </c>
      <c r="E59" s="2" t="n">
        <v>1</v>
      </c>
      <c r="F59" s="2" t="n">
        <v>0</v>
      </c>
      <c r="G59" s="2" t="n">
        <v>0</v>
      </c>
      <c r="H59" s="7" t="n">
        <f aca="false">0.3*C59 +0.25*F59+0.2*D59+0.15*E59+0.1*G59</f>
        <v>0.65</v>
      </c>
      <c r="I59" s="2" t="n">
        <v>1</v>
      </c>
      <c r="J59" s="2" t="n">
        <v>1</v>
      </c>
      <c r="K59" s="2" t="n">
        <v>0</v>
      </c>
      <c r="L59" s="2" t="n">
        <v>0</v>
      </c>
      <c r="M59" s="2" t="n">
        <v>0</v>
      </c>
      <c r="N59" s="2" t="n">
        <f aca="false">0.3*K59+0.25*L59+0.2*I59+0.15*J59+0.1*M59</f>
        <v>0.35</v>
      </c>
      <c r="O59" s="2" t="n">
        <v>1</v>
      </c>
      <c r="P59" s="2" t="n">
        <v>1</v>
      </c>
      <c r="Q59" s="2" t="n">
        <v>1</v>
      </c>
      <c r="R59" s="2" t="n">
        <v>1</v>
      </c>
      <c r="S59" s="2" t="n">
        <v>0</v>
      </c>
      <c r="T59" s="2" t="n">
        <f aca="false">0.35*O59+0.25*Q59+0.15*P59+0.15*S59+0.1*R59</f>
        <v>0.85</v>
      </c>
      <c r="U59" s="2" t="n">
        <f aca="false">H59*N59</f>
        <v>0.2275</v>
      </c>
      <c r="V59" s="2" t="n">
        <f aca="false">H59*T59</f>
        <v>0.5525</v>
      </c>
      <c r="W59" s="2" t="n">
        <f aca="false">N59*T59</f>
        <v>0.2975</v>
      </c>
      <c r="X59" s="2" t="n">
        <f aca="false">H59*N59*T59</f>
        <v>0.193375</v>
      </c>
      <c r="BC59" s="2"/>
      <c r="BD59" s="2"/>
      <c r="BE59" s="2"/>
      <c r="BF59" s="2"/>
      <c r="BL59" s="2"/>
      <c r="BM59" s="2"/>
      <c r="BN59" s="2"/>
      <c r="BO59" s="2"/>
      <c r="BP59" s="2"/>
    </row>
    <row r="60" customFormat="false" ht="13.8" hidden="false" customHeight="false" outlineLevel="0" collapsed="false">
      <c r="A60" s="1" t="n">
        <v>44501</v>
      </c>
      <c r="B60" s="2" t="n">
        <v>60412.5</v>
      </c>
      <c r="C60" s="2" t="n">
        <v>1</v>
      </c>
      <c r="D60" s="2" t="n">
        <v>1</v>
      </c>
      <c r="E60" s="2" t="n">
        <v>1</v>
      </c>
      <c r="F60" s="2" t="n">
        <v>0</v>
      </c>
      <c r="G60" s="2" t="n">
        <v>0</v>
      </c>
      <c r="H60" s="7" t="n">
        <f aca="false">0.3*C60 +0.25*F60+0.2*D60+0.15*E60+0.1*G60</f>
        <v>0.65</v>
      </c>
      <c r="I60" s="2" t="n">
        <v>1</v>
      </c>
      <c r="J60" s="2" t="n">
        <v>1</v>
      </c>
      <c r="K60" s="2" t="n">
        <v>0</v>
      </c>
      <c r="L60" s="2" t="n">
        <v>0</v>
      </c>
      <c r="M60" s="2" t="n">
        <v>0</v>
      </c>
      <c r="N60" s="2" t="n">
        <f aca="false">0.3*K60+0.25*L60+0.2*I60+0.15*J60+0.1*M60</f>
        <v>0.35</v>
      </c>
      <c r="O60" s="2" t="n">
        <v>1</v>
      </c>
      <c r="P60" s="2" t="n">
        <v>1</v>
      </c>
      <c r="Q60" s="2" t="n">
        <v>1</v>
      </c>
      <c r="R60" s="2" t="n">
        <v>1</v>
      </c>
      <c r="S60" s="2" t="n">
        <v>0</v>
      </c>
      <c r="T60" s="2" t="n">
        <f aca="false">0.35*O60+0.25*Q60+0.15*P60+0.15*S60+0.1*R60</f>
        <v>0.85</v>
      </c>
      <c r="U60" s="2" t="n">
        <f aca="false">H60*N60</f>
        <v>0.2275</v>
      </c>
      <c r="V60" s="2" t="n">
        <f aca="false">H60*T60</f>
        <v>0.5525</v>
      </c>
      <c r="W60" s="2" t="n">
        <f aca="false">N60*T60</f>
        <v>0.2975</v>
      </c>
      <c r="X60" s="2" t="n">
        <f aca="false">H60*N60*T60</f>
        <v>0.193375</v>
      </c>
      <c r="BC60" s="2"/>
      <c r="BD60" s="2"/>
      <c r="BE60" s="2"/>
      <c r="BF60" s="2"/>
      <c r="BL60" s="2"/>
      <c r="BM60" s="2"/>
      <c r="BN60" s="2"/>
      <c r="BO60" s="2"/>
      <c r="BP60" s="2"/>
    </row>
    <row r="61" customFormat="false" ht="13.8" hidden="false" customHeight="false" outlineLevel="0" collapsed="false">
      <c r="A61" s="1" t="n">
        <v>44531</v>
      </c>
      <c r="B61" s="2" t="n">
        <v>69347.1904761904</v>
      </c>
      <c r="C61" s="2" t="n">
        <v>1</v>
      </c>
      <c r="D61" s="2" t="n">
        <v>1</v>
      </c>
      <c r="E61" s="2" t="n">
        <v>1</v>
      </c>
      <c r="F61" s="2" t="n">
        <v>0</v>
      </c>
      <c r="G61" s="2" t="n">
        <v>0</v>
      </c>
      <c r="H61" s="7" t="n">
        <f aca="false">0.3*C61 +0.25*F61+0.2*D61+0.15*E61+0.1*G61</f>
        <v>0.65</v>
      </c>
      <c r="I61" s="2" t="n">
        <v>1</v>
      </c>
      <c r="J61" s="2" t="n">
        <v>1</v>
      </c>
      <c r="K61" s="2" t="n">
        <v>0</v>
      </c>
      <c r="L61" s="2" t="n">
        <v>0</v>
      </c>
      <c r="M61" s="2" t="n">
        <v>0</v>
      </c>
      <c r="N61" s="2" t="n">
        <f aca="false">0.3*K61+0.25*L61+0.2*I61+0.15*J61+0.1*M61</f>
        <v>0.35</v>
      </c>
      <c r="O61" s="2" t="n">
        <v>1</v>
      </c>
      <c r="P61" s="2" t="n">
        <v>1</v>
      </c>
      <c r="Q61" s="2" t="n">
        <v>1</v>
      </c>
      <c r="R61" s="2" t="n">
        <v>1</v>
      </c>
      <c r="S61" s="2" t="n">
        <v>0</v>
      </c>
      <c r="T61" s="2" t="n">
        <f aca="false">0.35*O61+0.25*Q61+0.15*P61+0.15*S61+0.1*R61</f>
        <v>0.85</v>
      </c>
      <c r="U61" s="2" t="n">
        <f aca="false">H61*N61</f>
        <v>0.2275</v>
      </c>
      <c r="V61" s="2" t="n">
        <f aca="false">H61*T61</f>
        <v>0.5525</v>
      </c>
      <c r="W61" s="2" t="n">
        <f aca="false">N61*T61</f>
        <v>0.2975</v>
      </c>
      <c r="X61" s="2" t="n">
        <f aca="false">H61*N61*T61</f>
        <v>0.193375</v>
      </c>
      <c r="BC61" s="2"/>
      <c r="BD61" s="2"/>
      <c r="BE61" s="2"/>
      <c r="BF61" s="2"/>
      <c r="BL61" s="2"/>
      <c r="BM61" s="2"/>
      <c r="BN61" s="2"/>
      <c r="BO61" s="2"/>
      <c r="BP61" s="2"/>
    </row>
    <row r="62" customFormat="false" ht="13.8" hidden="false" customHeight="false" outlineLevel="0" collapsed="false">
      <c r="A62" s="1" t="n">
        <v>44562</v>
      </c>
      <c r="B62" s="2" t="n">
        <v>70527.05</v>
      </c>
      <c r="C62" s="2" t="n">
        <v>1</v>
      </c>
      <c r="D62" s="2" t="n">
        <v>1</v>
      </c>
      <c r="E62" s="2" t="n">
        <v>0</v>
      </c>
      <c r="F62" s="2" t="n">
        <v>1</v>
      </c>
      <c r="G62" s="2" t="n">
        <v>0</v>
      </c>
      <c r="H62" s="7" t="n">
        <f aca="false">0.3*C62 +0.25*F62+0.2*D62+0.15*E62+0.1*G62</f>
        <v>0.75</v>
      </c>
      <c r="I62" s="2" t="n">
        <v>1</v>
      </c>
      <c r="J62" s="2" t="n">
        <v>1</v>
      </c>
      <c r="K62" s="2" t="n">
        <v>0</v>
      </c>
      <c r="L62" s="2" t="n">
        <v>0</v>
      </c>
      <c r="M62" s="2" t="n">
        <v>0</v>
      </c>
      <c r="N62" s="2" t="n">
        <f aca="false">0.3*K62+0.25*L62+0.2*I62+0.15*J62+0.1*M62</f>
        <v>0.35</v>
      </c>
      <c r="O62" s="2" t="n">
        <v>0</v>
      </c>
      <c r="P62" s="2" t="n">
        <v>1</v>
      </c>
      <c r="Q62" s="2" t="n">
        <v>1</v>
      </c>
      <c r="R62" s="2" t="n">
        <v>1</v>
      </c>
      <c r="S62" s="2" t="n">
        <v>0</v>
      </c>
      <c r="T62" s="2" t="n">
        <f aca="false">0.35*O62+0.25*Q62+0.15*P62+0.15*S62+0.1*R62</f>
        <v>0.5</v>
      </c>
      <c r="U62" s="2" t="n">
        <f aca="false">H62*N62</f>
        <v>0.2625</v>
      </c>
      <c r="V62" s="2" t="n">
        <f aca="false">H62*T62</f>
        <v>0.375</v>
      </c>
      <c r="W62" s="2" t="n">
        <f aca="false">N62*T62</f>
        <v>0.175</v>
      </c>
      <c r="X62" s="2" t="n">
        <f aca="false">H62*N62*T62</f>
        <v>0.13125</v>
      </c>
      <c r="BC62" s="2"/>
      <c r="BD62" s="2"/>
      <c r="BE62" s="2"/>
      <c r="BF62" s="2"/>
      <c r="BL62" s="2"/>
      <c r="BM62" s="2"/>
      <c r="BN62" s="2"/>
      <c r="BO62" s="2"/>
      <c r="BP62" s="2"/>
    </row>
    <row r="63" customFormat="false" ht="13.8" hidden="false" customHeight="false" outlineLevel="0" collapsed="false">
      <c r="A63" s="1" t="n">
        <v>44593</v>
      </c>
      <c r="B63" s="2" t="n">
        <v>71573.6</v>
      </c>
      <c r="C63" s="2" t="n">
        <v>1</v>
      </c>
      <c r="D63" s="2" t="n">
        <v>1</v>
      </c>
      <c r="E63" s="2" t="n">
        <v>0</v>
      </c>
      <c r="F63" s="2" t="n">
        <v>1</v>
      </c>
      <c r="G63" s="2" t="n">
        <v>0</v>
      </c>
      <c r="H63" s="7" t="n">
        <f aca="false">0.3*C63 +0.25*F63+0.2*D63+0.15*E63+0.1*G63</f>
        <v>0.75</v>
      </c>
      <c r="I63" s="2" t="n">
        <v>1</v>
      </c>
      <c r="J63" s="2" t="n">
        <v>1</v>
      </c>
      <c r="K63" s="2" t="n">
        <v>0</v>
      </c>
      <c r="L63" s="2" t="n">
        <v>0</v>
      </c>
      <c r="M63" s="2" t="n">
        <v>0</v>
      </c>
      <c r="N63" s="2" t="n">
        <f aca="false">0.3*K63+0.25*L63+0.2*I63+0.15*J63+0.1*M63</f>
        <v>0.35</v>
      </c>
      <c r="O63" s="2" t="n">
        <v>0</v>
      </c>
      <c r="P63" s="2" t="n">
        <v>1</v>
      </c>
      <c r="Q63" s="2" t="n">
        <v>1</v>
      </c>
      <c r="R63" s="2" t="n">
        <v>1</v>
      </c>
      <c r="S63" s="2" t="n">
        <v>0</v>
      </c>
      <c r="T63" s="2" t="n">
        <f aca="false">0.35*O63+0.25*Q63+0.15*P63+0.15*S63+0.1*R63</f>
        <v>0.5</v>
      </c>
      <c r="U63" s="2" t="n">
        <f aca="false">H63*N63</f>
        <v>0.2625</v>
      </c>
      <c r="V63" s="2" t="n">
        <f aca="false">H63*T63</f>
        <v>0.375</v>
      </c>
      <c r="W63" s="2" t="n">
        <f aca="false">N63*T63</f>
        <v>0.175</v>
      </c>
      <c r="X63" s="2" t="n">
        <f aca="false">H63*N63*T63</f>
        <v>0.13125</v>
      </c>
      <c r="BC63" s="2"/>
      <c r="BD63" s="2"/>
      <c r="BE63" s="2"/>
      <c r="BF63" s="2"/>
      <c r="BL63" s="2"/>
      <c r="BM63" s="2"/>
      <c r="BN63" s="2"/>
      <c r="BO63" s="2"/>
      <c r="BP63" s="2"/>
    </row>
    <row r="64" customFormat="false" ht="13.8" hidden="false" customHeight="false" outlineLevel="0" collapsed="false">
      <c r="A64" s="1" t="n">
        <v>44621</v>
      </c>
      <c r="B64" s="2" t="n">
        <v>80457.4347826087</v>
      </c>
      <c r="C64" s="2" t="n">
        <v>1</v>
      </c>
      <c r="D64" s="2" t="n">
        <v>1</v>
      </c>
      <c r="E64" s="2" t="n">
        <v>0</v>
      </c>
      <c r="F64" s="2" t="n">
        <v>1</v>
      </c>
      <c r="G64" s="2" t="n">
        <v>0</v>
      </c>
      <c r="H64" s="7" t="n">
        <f aca="false">0.3*C64 +0.25*F64+0.2*D64+0.15*E64+0.1*G64</f>
        <v>0.75</v>
      </c>
      <c r="I64" s="2" t="n">
        <v>1</v>
      </c>
      <c r="J64" s="2" t="n">
        <v>1</v>
      </c>
      <c r="K64" s="2" t="n">
        <v>0</v>
      </c>
      <c r="L64" s="2" t="n">
        <v>0</v>
      </c>
      <c r="M64" s="2" t="n">
        <v>0</v>
      </c>
      <c r="N64" s="2" t="n">
        <f aca="false">0.3*K64+0.25*L64+0.2*I64+0.15*J64+0.1*M64</f>
        <v>0.35</v>
      </c>
      <c r="O64" s="2" t="n">
        <v>0</v>
      </c>
      <c r="P64" s="2" t="n">
        <v>1</v>
      </c>
      <c r="Q64" s="2" t="n">
        <v>1</v>
      </c>
      <c r="R64" s="2" t="n">
        <v>1</v>
      </c>
      <c r="S64" s="2" t="n">
        <v>0</v>
      </c>
      <c r="T64" s="2" t="n">
        <f aca="false">0.35*O64+0.25*Q64+0.15*P64+0.15*S64+0.1*R64</f>
        <v>0.5</v>
      </c>
      <c r="U64" s="2" t="n">
        <f aca="false">H64*N64</f>
        <v>0.2625</v>
      </c>
      <c r="V64" s="2" t="n">
        <f aca="false">H64*T64</f>
        <v>0.375</v>
      </c>
      <c r="W64" s="2" t="n">
        <f aca="false">N64*T64</f>
        <v>0.175</v>
      </c>
      <c r="X64" s="2" t="n">
        <f aca="false">H64*N64*T64</f>
        <v>0.13125</v>
      </c>
      <c r="BC64" s="2"/>
      <c r="BD64" s="2"/>
      <c r="BE64" s="2"/>
      <c r="BF64" s="2"/>
      <c r="BL64" s="2"/>
      <c r="BM64" s="2"/>
      <c r="BN64" s="2"/>
      <c r="BO64" s="2"/>
      <c r="BP64" s="2"/>
    </row>
    <row r="65" customFormat="false" ht="13.8" hidden="false" customHeight="false" outlineLevel="0" collapsed="false">
      <c r="A65" s="1" t="n">
        <v>44652</v>
      </c>
      <c r="B65" s="2" t="n">
        <v>81790.3809523809</v>
      </c>
      <c r="C65" s="2" t="n">
        <v>1</v>
      </c>
      <c r="D65" s="2" t="n">
        <v>1</v>
      </c>
      <c r="E65" s="2" t="n">
        <v>0</v>
      </c>
      <c r="F65" s="2" t="n">
        <v>1</v>
      </c>
      <c r="G65" s="2" t="n">
        <v>0</v>
      </c>
      <c r="H65" s="7" t="n">
        <f aca="false">0.3*C65 +0.25*F65+0.2*D65+0.15*E65+0.1*G65</f>
        <v>0.75</v>
      </c>
      <c r="I65" s="2" t="n">
        <v>1</v>
      </c>
      <c r="J65" s="2" t="n">
        <v>1</v>
      </c>
      <c r="K65" s="2" t="n">
        <v>0</v>
      </c>
      <c r="L65" s="2" t="n">
        <v>0</v>
      </c>
      <c r="M65" s="2" t="n">
        <v>0</v>
      </c>
      <c r="N65" s="2" t="n">
        <f aca="false">0.3*K65+0.25*L65+0.2*I65+0.15*J65+0.1*M65</f>
        <v>0.35</v>
      </c>
      <c r="O65" s="2" t="n">
        <v>0</v>
      </c>
      <c r="P65" s="2" t="n">
        <v>1</v>
      </c>
      <c r="Q65" s="2" t="n">
        <v>1</v>
      </c>
      <c r="R65" s="2" t="n">
        <v>1</v>
      </c>
      <c r="S65" s="2" t="n">
        <v>0</v>
      </c>
      <c r="T65" s="2" t="n">
        <f aca="false">0.35*O65+0.25*Q65+0.15*P65+0.15*S65+0.1*R65</f>
        <v>0.5</v>
      </c>
      <c r="U65" s="2" t="n">
        <f aca="false">H65*N65</f>
        <v>0.2625</v>
      </c>
      <c r="V65" s="2" t="n">
        <f aca="false">H65*T65</f>
        <v>0.375</v>
      </c>
      <c r="W65" s="2" t="n">
        <f aca="false">N65*T65</f>
        <v>0.175</v>
      </c>
      <c r="X65" s="2" t="n">
        <f aca="false">H65*N65*T65</f>
        <v>0.13125</v>
      </c>
      <c r="BC65" s="2"/>
      <c r="BD65" s="2"/>
      <c r="BE65" s="2"/>
      <c r="BF65" s="2"/>
      <c r="BL65" s="2"/>
      <c r="BM65" s="2"/>
      <c r="BN65" s="2"/>
      <c r="BO65" s="2"/>
      <c r="BP65" s="2"/>
    </row>
    <row r="66" customFormat="false" ht="13.8" hidden="false" customHeight="false" outlineLevel="0" collapsed="false">
      <c r="A66" s="1" t="n">
        <v>44682</v>
      </c>
      <c r="B66" s="2" t="n">
        <v>77721.3636363636</v>
      </c>
      <c r="C66" s="2" t="n">
        <v>1</v>
      </c>
      <c r="D66" s="2" t="n">
        <v>1</v>
      </c>
      <c r="E66" s="2" t="n">
        <v>0</v>
      </c>
      <c r="F66" s="2" t="n">
        <v>1</v>
      </c>
      <c r="G66" s="2" t="n">
        <v>0</v>
      </c>
      <c r="H66" s="7" t="n">
        <f aca="false">0.3*C66 +0.25*F66+0.2*D66+0.15*E66+0.1*G66</f>
        <v>0.75</v>
      </c>
      <c r="I66" s="2" t="n">
        <v>1</v>
      </c>
      <c r="J66" s="2" t="n">
        <v>1</v>
      </c>
      <c r="K66" s="2" t="n">
        <v>0</v>
      </c>
      <c r="L66" s="2" t="n">
        <v>0</v>
      </c>
      <c r="M66" s="2" t="n">
        <v>0</v>
      </c>
      <c r="N66" s="2" t="n">
        <f aca="false">0.3*K66+0.25*L66+0.2*I66+0.15*J66+0.1*M66</f>
        <v>0.35</v>
      </c>
      <c r="O66" s="2" t="n">
        <v>0</v>
      </c>
      <c r="P66" s="2" t="n">
        <v>1</v>
      </c>
      <c r="Q66" s="2" t="n">
        <v>1</v>
      </c>
      <c r="R66" s="2" t="n">
        <v>1</v>
      </c>
      <c r="S66" s="2" t="n">
        <v>0</v>
      </c>
      <c r="T66" s="2" t="n">
        <f aca="false">0.35*O66+0.25*Q66+0.15*P66+0.15*S66+0.1*R66</f>
        <v>0.5</v>
      </c>
      <c r="U66" s="2" t="n">
        <f aca="false">H66*N66</f>
        <v>0.2625</v>
      </c>
      <c r="V66" s="2" t="n">
        <f aca="false">H66*T66</f>
        <v>0.375</v>
      </c>
      <c r="W66" s="2" t="n">
        <f aca="false">N66*T66</f>
        <v>0.175</v>
      </c>
      <c r="X66" s="2" t="n">
        <f aca="false">H66*N66*T66</f>
        <v>0.13125</v>
      </c>
      <c r="BC66" s="2"/>
      <c r="BD66" s="2"/>
      <c r="BE66" s="2"/>
      <c r="BF66" s="2"/>
      <c r="BL66" s="2"/>
      <c r="BM66" s="2"/>
      <c r="BN66" s="2"/>
      <c r="BO66" s="2"/>
      <c r="BP66" s="2"/>
    </row>
    <row r="67" customFormat="false" ht="13.8" hidden="false" customHeight="false" outlineLevel="0" collapsed="false">
      <c r="A67" s="1" t="n">
        <v>44713</v>
      </c>
      <c r="B67" s="2" t="n">
        <v>72057.7272727272</v>
      </c>
      <c r="C67" s="2" t="n">
        <v>1</v>
      </c>
      <c r="D67" s="2" t="n">
        <v>1</v>
      </c>
      <c r="E67" s="2" t="n">
        <v>0</v>
      </c>
      <c r="F67" s="2" t="n">
        <v>1</v>
      </c>
      <c r="G67" s="2" t="n">
        <v>0</v>
      </c>
      <c r="H67" s="7" t="n">
        <f aca="false">0.3*C67 +0.25*F67+0.2*D67+0.15*E67+0.1*G67</f>
        <v>0.75</v>
      </c>
      <c r="I67" s="2" t="n">
        <v>1</v>
      </c>
      <c r="J67" s="2" t="n">
        <v>1</v>
      </c>
      <c r="K67" s="2" t="n">
        <v>0</v>
      </c>
      <c r="L67" s="2" t="n">
        <v>0</v>
      </c>
      <c r="M67" s="2" t="n">
        <v>0</v>
      </c>
      <c r="N67" s="2" t="n">
        <f aca="false">0.3*K67+0.25*L67+0.2*I67+0.15*J67+0.1*M67</f>
        <v>0.35</v>
      </c>
      <c r="O67" s="2" t="n">
        <v>0</v>
      </c>
      <c r="P67" s="2" t="n">
        <v>1</v>
      </c>
      <c r="Q67" s="2" t="n">
        <v>1</v>
      </c>
      <c r="R67" s="2" t="n">
        <v>1</v>
      </c>
      <c r="S67" s="2" t="n">
        <v>0</v>
      </c>
      <c r="T67" s="2" t="n">
        <f aca="false">0.35*O67+0.25*Q67+0.15*P67+0.15*S67+0.1*R67</f>
        <v>0.5</v>
      </c>
      <c r="U67" s="2" t="n">
        <f aca="false">H67*N67</f>
        <v>0.2625</v>
      </c>
      <c r="V67" s="2" t="n">
        <f aca="false">H67*T67</f>
        <v>0.375</v>
      </c>
      <c r="W67" s="2" t="n">
        <f aca="false">N67*T67</f>
        <v>0.175</v>
      </c>
      <c r="X67" s="2" t="n">
        <f aca="false">H67*N67*T67</f>
        <v>0.13125</v>
      </c>
      <c r="BC67" s="2"/>
      <c r="BD67" s="2"/>
      <c r="BE67" s="2"/>
      <c r="BF67" s="2"/>
      <c r="BL67" s="2"/>
      <c r="BM67" s="2"/>
      <c r="BN67" s="2"/>
      <c r="BO67" s="2"/>
      <c r="BP67" s="2"/>
    </row>
    <row r="68" customFormat="false" ht="13.8" hidden="false" customHeight="false" outlineLevel="0" collapsed="false">
      <c r="A68" s="1" t="n">
        <v>44743</v>
      </c>
      <c r="B68" s="2" t="n">
        <v>55713.2380952381</v>
      </c>
      <c r="C68" s="2" t="n">
        <v>1</v>
      </c>
      <c r="D68" s="2" t="n">
        <v>1</v>
      </c>
      <c r="E68" s="2" t="n">
        <v>0</v>
      </c>
      <c r="F68" s="2" t="n">
        <v>1</v>
      </c>
      <c r="G68" s="2" t="n">
        <v>0</v>
      </c>
      <c r="H68" s="7" t="n">
        <f aca="false">0.3*C68 +0.25*F68+0.2*D68+0.15*E68+0.1*G68</f>
        <v>0.75</v>
      </c>
      <c r="I68" s="2" t="n">
        <v>1</v>
      </c>
      <c r="J68" s="2" t="n">
        <v>1</v>
      </c>
      <c r="K68" s="2" t="n">
        <v>0</v>
      </c>
      <c r="L68" s="2" t="n">
        <v>0</v>
      </c>
      <c r="M68" s="2" t="n">
        <v>0</v>
      </c>
      <c r="N68" s="2" t="n">
        <f aca="false">0.3*K68+0.25*L68+0.2*I68+0.15*J68+0.1*M68</f>
        <v>0.35</v>
      </c>
      <c r="O68" s="2" t="n">
        <v>0</v>
      </c>
      <c r="P68" s="2" t="n">
        <v>1</v>
      </c>
      <c r="Q68" s="2" t="n">
        <v>1</v>
      </c>
      <c r="R68" s="2" t="n">
        <v>0</v>
      </c>
      <c r="S68" s="2" t="n">
        <v>0</v>
      </c>
      <c r="T68" s="2" t="n">
        <f aca="false">0.35*O68+0.25*Q68+0.15*P68+0.15*S68+0.1*R68</f>
        <v>0.4</v>
      </c>
      <c r="U68" s="2" t="n">
        <f aca="false">H68*N68</f>
        <v>0.2625</v>
      </c>
      <c r="V68" s="2" t="n">
        <f aca="false">H68*T68</f>
        <v>0.3</v>
      </c>
      <c r="W68" s="2" t="n">
        <f aca="false">N68*T68</f>
        <v>0.14</v>
      </c>
      <c r="X68" s="2" t="n">
        <f aca="false">H68*N68*T68</f>
        <v>0.105</v>
      </c>
      <c r="BC68" s="2"/>
      <c r="BD68" s="2"/>
      <c r="BE68" s="2"/>
      <c r="BF68" s="2"/>
      <c r="BL68" s="2"/>
      <c r="BM68" s="2"/>
      <c r="BN68" s="2"/>
      <c r="BO68" s="2"/>
      <c r="BP68" s="2"/>
    </row>
    <row r="69" customFormat="false" ht="13.8" hidden="false" customHeight="false" outlineLevel="0" collapsed="false">
      <c r="A69" s="1" t="n">
        <v>44774</v>
      </c>
      <c r="B69" s="2" t="n">
        <v>49308.8260869565</v>
      </c>
      <c r="C69" s="2" t="n">
        <v>1</v>
      </c>
      <c r="D69" s="2" t="n">
        <v>1</v>
      </c>
      <c r="E69" s="2" t="n">
        <v>0</v>
      </c>
      <c r="F69" s="2" t="n">
        <v>1</v>
      </c>
      <c r="G69" s="2" t="n">
        <v>0</v>
      </c>
      <c r="H69" s="7" t="n">
        <f aca="false">0.3*C69 +0.25*F69+0.2*D69+0.15*E69+0.1*G69</f>
        <v>0.75</v>
      </c>
      <c r="I69" s="2" t="n">
        <v>1</v>
      </c>
      <c r="J69" s="2" t="n">
        <v>1</v>
      </c>
      <c r="K69" s="2" t="n">
        <v>1</v>
      </c>
      <c r="L69" s="2" t="n">
        <v>0</v>
      </c>
      <c r="M69" s="2" t="n">
        <v>0</v>
      </c>
      <c r="N69" s="2" t="n">
        <f aca="false">0.3*K69+0.25*L69+0.2*I69+0.15*J69+0.1*M69</f>
        <v>0.65</v>
      </c>
      <c r="O69" s="2" t="n">
        <v>0</v>
      </c>
      <c r="P69" s="2" t="n">
        <v>1</v>
      </c>
      <c r="Q69" s="2" t="n">
        <v>1</v>
      </c>
      <c r="R69" s="2" t="n">
        <v>0</v>
      </c>
      <c r="S69" s="2" t="n">
        <v>0</v>
      </c>
      <c r="T69" s="2" t="n">
        <f aca="false">0.35*O69+0.25*Q69+0.15*P69+0.15*S69+0.1*R69</f>
        <v>0.4</v>
      </c>
      <c r="U69" s="2" t="n">
        <f aca="false">H69*N69</f>
        <v>0.4875</v>
      </c>
      <c r="V69" s="2" t="n">
        <f aca="false">H69*T69</f>
        <v>0.3</v>
      </c>
      <c r="W69" s="2" t="n">
        <f aca="false">N69*T69</f>
        <v>0.26</v>
      </c>
      <c r="X69" s="2" t="n">
        <f aca="false">H69*N69*T69</f>
        <v>0.195</v>
      </c>
      <c r="BC69" s="2"/>
      <c r="BD69" s="2"/>
      <c r="BE69" s="2"/>
      <c r="BF69" s="2"/>
      <c r="BL69" s="2"/>
      <c r="BM69" s="2"/>
      <c r="BN69" s="2"/>
      <c r="BO69" s="2"/>
      <c r="BP69" s="2"/>
    </row>
    <row r="70" customFormat="false" ht="13.8" hidden="false" customHeight="false" outlineLevel="0" collapsed="false">
      <c r="A70" s="1" t="n">
        <v>44805</v>
      </c>
      <c r="B70" s="2" t="n">
        <v>51515.409090909</v>
      </c>
      <c r="C70" s="2" t="n">
        <v>1</v>
      </c>
      <c r="D70" s="2" t="n">
        <v>1</v>
      </c>
      <c r="E70" s="2" t="n">
        <v>0</v>
      </c>
      <c r="F70" s="2" t="n">
        <v>1</v>
      </c>
      <c r="G70" s="2" t="n">
        <v>0</v>
      </c>
      <c r="H70" s="7" t="n">
        <f aca="false">0.3*C70 +0.25*F70+0.2*D70+0.15*E70+0.1*G70</f>
        <v>0.75</v>
      </c>
      <c r="I70" s="2" t="n">
        <v>1</v>
      </c>
      <c r="J70" s="2" t="n">
        <v>1</v>
      </c>
      <c r="K70" s="2" t="n">
        <v>1</v>
      </c>
      <c r="L70" s="2" t="n">
        <v>0</v>
      </c>
      <c r="M70" s="2" t="n">
        <v>0</v>
      </c>
      <c r="N70" s="2" t="n">
        <f aca="false">0.3*K70+0.25*L70+0.2*I70+0.15*J70+0.1*M70</f>
        <v>0.65</v>
      </c>
      <c r="O70" s="2" t="n">
        <v>0</v>
      </c>
      <c r="P70" s="2" t="n">
        <v>1</v>
      </c>
      <c r="Q70" s="2" t="n">
        <v>1</v>
      </c>
      <c r="R70" s="2" t="n">
        <v>0</v>
      </c>
      <c r="S70" s="2" t="n">
        <v>0</v>
      </c>
      <c r="T70" s="2" t="n">
        <f aca="false">0.35*O70+0.25*Q70+0.15*P70+0.15*S70+0.1*R70</f>
        <v>0.4</v>
      </c>
      <c r="U70" s="2" t="n">
        <f aca="false">H70*N70</f>
        <v>0.4875</v>
      </c>
      <c r="V70" s="2" t="n">
        <f aca="false">H70*T70</f>
        <v>0.3</v>
      </c>
      <c r="W70" s="2" t="n">
        <f aca="false">N70*T70</f>
        <v>0.26</v>
      </c>
      <c r="X70" s="2" t="n">
        <f aca="false">H70*N70*T70</f>
        <v>0.195</v>
      </c>
      <c r="BC70" s="2"/>
      <c r="BD70" s="2"/>
      <c r="BE70" s="2"/>
      <c r="BF70" s="2"/>
      <c r="BL70" s="2"/>
      <c r="BM70" s="2"/>
      <c r="BN70" s="2"/>
      <c r="BO70" s="2"/>
      <c r="BP70" s="2"/>
    </row>
    <row r="71" customFormat="false" ht="13.8" hidden="false" customHeight="false" outlineLevel="0" collapsed="false">
      <c r="A71" s="1" t="n">
        <v>44835</v>
      </c>
      <c r="B71" s="2" t="n">
        <v>51509.2380952381</v>
      </c>
      <c r="C71" s="2" t="n">
        <v>1</v>
      </c>
      <c r="D71" s="2" t="n">
        <v>1</v>
      </c>
      <c r="E71" s="2" t="n">
        <v>0</v>
      </c>
      <c r="F71" s="2" t="n">
        <v>1</v>
      </c>
      <c r="G71" s="2" t="n">
        <v>0</v>
      </c>
      <c r="H71" s="7" t="n">
        <f aca="false">0.3*C71 +0.25*F71+0.2*D71+0.15*E71+0.1*G71</f>
        <v>0.75</v>
      </c>
      <c r="I71" s="2" t="n">
        <v>1</v>
      </c>
      <c r="J71" s="2" t="n">
        <v>1</v>
      </c>
      <c r="K71" s="2" t="n">
        <v>1</v>
      </c>
      <c r="L71" s="2" t="n">
        <v>0</v>
      </c>
      <c r="M71" s="2" t="n">
        <v>0</v>
      </c>
      <c r="N71" s="2" t="n">
        <f aca="false">0.3*K71+0.25*L71+0.2*I71+0.15*J71+0.1*M71</f>
        <v>0.65</v>
      </c>
      <c r="O71" s="2" t="n">
        <v>0</v>
      </c>
      <c r="P71" s="2" t="n">
        <v>1</v>
      </c>
      <c r="Q71" s="2" t="n">
        <v>1</v>
      </c>
      <c r="R71" s="2" t="n">
        <v>0</v>
      </c>
      <c r="S71" s="2" t="n">
        <v>0</v>
      </c>
      <c r="T71" s="2" t="n">
        <f aca="false">0.35*O71+0.25*Q71+0.15*P71+0.15*S71+0.1*R71</f>
        <v>0.4</v>
      </c>
      <c r="U71" s="2" t="n">
        <f aca="false">H71*N71</f>
        <v>0.4875</v>
      </c>
      <c r="V71" s="2" t="n">
        <f aca="false">H71*T71</f>
        <v>0.3</v>
      </c>
      <c r="W71" s="2" t="n">
        <f aca="false">N71*T71</f>
        <v>0.26</v>
      </c>
      <c r="X71" s="2" t="n">
        <f aca="false">H71*N71*T71</f>
        <v>0.195</v>
      </c>
      <c r="BC71" s="2"/>
      <c r="BD71" s="2"/>
      <c r="BE71" s="2"/>
      <c r="BF71" s="2"/>
      <c r="BL71" s="2"/>
      <c r="BM71" s="2"/>
      <c r="BN71" s="2"/>
      <c r="BO71" s="2"/>
      <c r="BP71" s="2"/>
    </row>
    <row r="72" customFormat="false" ht="13.8" hidden="false" customHeight="false" outlineLevel="0" collapsed="false">
      <c r="A72" s="1" t="n">
        <v>44866</v>
      </c>
      <c r="B72" s="2" t="n">
        <v>51504.5909090909</v>
      </c>
      <c r="C72" s="2" t="n">
        <v>1</v>
      </c>
      <c r="D72" s="2" t="n">
        <v>1</v>
      </c>
      <c r="E72" s="2" t="n">
        <v>0</v>
      </c>
      <c r="F72" s="2" t="n">
        <v>1</v>
      </c>
      <c r="G72" s="2" t="n">
        <v>0</v>
      </c>
      <c r="H72" s="7" t="n">
        <f aca="false">0.3*C72 +0.25*F72+0.2*D72+0.15*E72+0.1*G72</f>
        <v>0.75</v>
      </c>
      <c r="I72" s="2" t="n">
        <v>1</v>
      </c>
      <c r="J72" s="2" t="n">
        <v>1</v>
      </c>
      <c r="K72" s="2" t="n">
        <v>1</v>
      </c>
      <c r="L72" s="2" t="n">
        <v>0</v>
      </c>
      <c r="M72" s="2" t="n">
        <v>0</v>
      </c>
      <c r="N72" s="2" t="n">
        <f aca="false">0.3*K72+0.25*L72+0.2*I72+0.15*J72+0.1*M72</f>
        <v>0.65</v>
      </c>
      <c r="O72" s="2" t="n">
        <v>0</v>
      </c>
      <c r="P72" s="2" t="n">
        <v>1</v>
      </c>
      <c r="Q72" s="2" t="n">
        <v>1</v>
      </c>
      <c r="R72" s="2" t="n">
        <v>0</v>
      </c>
      <c r="S72" s="2" t="n">
        <v>0</v>
      </c>
      <c r="T72" s="2" t="n">
        <f aca="false">0.35*O72+0.25*Q72+0.15*P72+0.15*S72+0.1*R72</f>
        <v>0.4</v>
      </c>
      <c r="U72" s="2" t="n">
        <f aca="false">H72*N72</f>
        <v>0.4875</v>
      </c>
      <c r="V72" s="2" t="n">
        <f aca="false">H72*T72</f>
        <v>0.3</v>
      </c>
      <c r="W72" s="2" t="n">
        <f aca="false">N72*T72</f>
        <v>0.26</v>
      </c>
      <c r="X72" s="2" t="n">
        <f aca="false">H72*N72*T72</f>
        <v>0.195</v>
      </c>
      <c r="BC72" s="2"/>
      <c r="BD72" s="2"/>
      <c r="BE72" s="2"/>
      <c r="BF72" s="2"/>
      <c r="BL72" s="2"/>
      <c r="BM72" s="2"/>
      <c r="BN72" s="2"/>
      <c r="BO72" s="2"/>
      <c r="BP72" s="2"/>
    </row>
    <row r="73" customFormat="false" ht="13.8" hidden="false" customHeight="false" outlineLevel="0" collapsed="false">
      <c r="A73" s="1" t="n">
        <v>44896</v>
      </c>
      <c r="B73" s="2" t="n">
        <v>51497.7727272727</v>
      </c>
      <c r="C73" s="2" t="n">
        <v>1</v>
      </c>
      <c r="D73" s="2" t="n">
        <v>1</v>
      </c>
      <c r="E73" s="2" t="n">
        <v>0</v>
      </c>
      <c r="F73" s="2" t="n">
        <v>1</v>
      </c>
      <c r="G73" s="2" t="n">
        <v>0</v>
      </c>
      <c r="H73" s="7" t="n">
        <f aca="false">0.3*C73 +0.25*F73+0.2*D73+0.15*E73+0.1*G73</f>
        <v>0.75</v>
      </c>
      <c r="I73" s="2" t="n">
        <v>1</v>
      </c>
      <c r="J73" s="2" t="n">
        <v>1</v>
      </c>
      <c r="K73" s="2" t="n">
        <v>1</v>
      </c>
      <c r="L73" s="2" t="n">
        <v>0</v>
      </c>
      <c r="M73" s="2" t="n">
        <v>0</v>
      </c>
      <c r="N73" s="2" t="n">
        <f aca="false">0.3*K73+0.25*L73+0.2*I73+0.15*J73+0.1*M73</f>
        <v>0.65</v>
      </c>
      <c r="O73" s="2" t="n">
        <v>0</v>
      </c>
      <c r="P73" s="2" t="n">
        <v>1</v>
      </c>
      <c r="Q73" s="2" t="n">
        <v>1</v>
      </c>
      <c r="R73" s="2" t="n">
        <v>0</v>
      </c>
      <c r="S73" s="2" t="n">
        <v>0</v>
      </c>
      <c r="T73" s="2" t="n">
        <f aca="false">0.35*O73+0.25*Q73+0.15*P73+0.15*S73+0.1*R73</f>
        <v>0.4</v>
      </c>
      <c r="U73" s="2" t="n">
        <f aca="false">H73*N73</f>
        <v>0.4875</v>
      </c>
      <c r="V73" s="2" t="n">
        <f aca="false">H73*T73</f>
        <v>0.3</v>
      </c>
      <c r="W73" s="2" t="n">
        <f aca="false">N73*T73</f>
        <v>0.26</v>
      </c>
      <c r="X73" s="2" t="n">
        <f aca="false">H73*N73*T73</f>
        <v>0.195</v>
      </c>
      <c r="BC73" s="2"/>
      <c r="BD73" s="2"/>
      <c r="BE73" s="2"/>
      <c r="BF73" s="2"/>
      <c r="BL73" s="2"/>
      <c r="BM73" s="2"/>
      <c r="BN73" s="2"/>
      <c r="BO73" s="2"/>
      <c r="BP73" s="2"/>
    </row>
    <row r="74" customFormat="false" ht="13.8" hidden="false" customHeight="false" outlineLevel="0" collapsed="false">
      <c r="A74" s="1" t="n">
        <v>44927</v>
      </c>
      <c r="B74" s="2" t="n">
        <v>48874.3636363636</v>
      </c>
      <c r="C74" s="2" t="n">
        <v>1</v>
      </c>
      <c r="D74" s="2" t="n">
        <v>1</v>
      </c>
      <c r="E74" s="2" t="n">
        <v>0</v>
      </c>
      <c r="F74" s="2" t="n">
        <v>1</v>
      </c>
      <c r="G74" s="2" t="n">
        <v>0</v>
      </c>
      <c r="H74" s="7" t="n">
        <f aca="false">0.3*C74 +0.25*F74+0.2*D74+0.15*E74+0.1*G74</f>
        <v>0.75</v>
      </c>
      <c r="I74" s="2" t="n">
        <v>1</v>
      </c>
      <c r="J74" s="2" t="n">
        <v>1</v>
      </c>
      <c r="K74" s="2" t="n">
        <v>1</v>
      </c>
      <c r="L74" s="2" t="n">
        <v>1</v>
      </c>
      <c r="M74" s="2" t="n">
        <v>0</v>
      </c>
      <c r="N74" s="2" t="n">
        <f aca="false">0.3*K74+0.25*L74+0.2*I74+0.15*J74+0.1*M74</f>
        <v>0.9</v>
      </c>
      <c r="O74" s="2" t="n">
        <v>0</v>
      </c>
      <c r="P74" s="2" t="n">
        <v>1</v>
      </c>
      <c r="Q74" s="2" t="n">
        <v>1</v>
      </c>
      <c r="R74" s="2" t="n">
        <v>0</v>
      </c>
      <c r="S74" s="2" t="n">
        <v>1</v>
      </c>
      <c r="T74" s="2" t="n">
        <f aca="false">0.35*O74+0.25*Q74+0.15*P74+0.15*S74+0.1*R74</f>
        <v>0.55</v>
      </c>
      <c r="U74" s="2" t="n">
        <f aca="false">H74*N74</f>
        <v>0.675</v>
      </c>
      <c r="V74" s="2" t="n">
        <f aca="false">H74*T74</f>
        <v>0.4125</v>
      </c>
      <c r="W74" s="2" t="n">
        <f aca="false">N74*T74</f>
        <v>0.495</v>
      </c>
      <c r="X74" s="2" t="n">
        <f aca="false">H74*N74*T74</f>
        <v>0.37125</v>
      </c>
      <c r="BC74" s="2"/>
      <c r="BD74" s="2"/>
      <c r="BE74" s="2"/>
      <c r="BF74" s="2"/>
      <c r="BL74" s="2"/>
      <c r="BM74" s="2"/>
      <c r="BN74" s="2"/>
      <c r="BO74" s="2"/>
      <c r="BP74" s="2"/>
    </row>
    <row r="75" customFormat="false" ht="13.8" hidden="false" customHeight="false" outlineLevel="0" collapsed="false">
      <c r="A75" s="1" t="n">
        <v>44958</v>
      </c>
      <c r="B75" s="2" t="n">
        <v>36615.0125</v>
      </c>
      <c r="C75" s="2" t="n">
        <v>1</v>
      </c>
      <c r="D75" s="2" t="n">
        <v>1</v>
      </c>
      <c r="E75" s="2" t="n">
        <v>0</v>
      </c>
      <c r="F75" s="2" t="n">
        <v>1</v>
      </c>
      <c r="G75" s="2" t="n">
        <v>0</v>
      </c>
      <c r="H75" s="7" t="n">
        <f aca="false">0.3*C75 +0.25*F75+0.2*D75+0.15*E75+0.1*G75</f>
        <v>0.75</v>
      </c>
      <c r="I75" s="2" t="n">
        <v>1</v>
      </c>
      <c r="J75" s="2" t="n">
        <v>1</v>
      </c>
      <c r="K75" s="2" t="n">
        <v>1</v>
      </c>
      <c r="L75" s="2" t="n">
        <v>1</v>
      </c>
      <c r="M75" s="2" t="n">
        <v>0</v>
      </c>
      <c r="N75" s="2" t="n">
        <f aca="false">0.3*K75+0.25*L75+0.2*I75+0.15*J75+0.1*M75</f>
        <v>0.9</v>
      </c>
      <c r="O75" s="2" t="n">
        <v>0</v>
      </c>
      <c r="P75" s="2" t="n">
        <v>1</v>
      </c>
      <c r="Q75" s="2" t="n">
        <v>1</v>
      </c>
      <c r="R75" s="2" t="n">
        <v>0</v>
      </c>
      <c r="S75" s="2" t="n">
        <v>1</v>
      </c>
      <c r="T75" s="2" t="n">
        <f aca="false">0.35*O75+0.25*Q75+0.15*P75+0.15*S75+0.1*R75</f>
        <v>0.55</v>
      </c>
      <c r="U75" s="2" t="n">
        <f aca="false">H75*N75</f>
        <v>0.675</v>
      </c>
      <c r="V75" s="2" t="n">
        <f aca="false">H75*T75</f>
        <v>0.4125</v>
      </c>
      <c r="W75" s="2" t="n">
        <f aca="false">N75*T75</f>
        <v>0.495</v>
      </c>
      <c r="X75" s="2" t="n">
        <f aca="false">H75*N75*T75</f>
        <v>0.37125</v>
      </c>
      <c r="BC75" s="2"/>
      <c r="BD75" s="2"/>
      <c r="BE75" s="2"/>
      <c r="BF75" s="2"/>
      <c r="BL75" s="2"/>
      <c r="BM75" s="2"/>
      <c r="BN75" s="2"/>
      <c r="BO75" s="2"/>
      <c r="BP75" s="2"/>
    </row>
    <row r="76" customFormat="false" ht="13.8" hidden="false" customHeight="false" outlineLevel="0" collapsed="false">
      <c r="A76" s="1" t="n">
        <v>44986</v>
      </c>
      <c r="B76" s="2" t="n">
        <v>33865.1304347826</v>
      </c>
      <c r="C76" s="2" t="n">
        <v>1</v>
      </c>
      <c r="D76" s="2" t="n">
        <v>1</v>
      </c>
      <c r="E76" s="2" t="n">
        <v>0</v>
      </c>
      <c r="F76" s="2" t="n">
        <v>1</v>
      </c>
      <c r="G76" s="2" t="n">
        <v>0</v>
      </c>
      <c r="H76" s="7" t="n">
        <f aca="false">0.3*C76 +0.25*F76+0.2*D76+0.15*E76+0.1*G76</f>
        <v>0.75</v>
      </c>
      <c r="I76" s="2" t="n">
        <v>1</v>
      </c>
      <c r="J76" s="2" t="n">
        <v>1</v>
      </c>
      <c r="K76" s="2" t="n">
        <v>1</v>
      </c>
      <c r="L76" s="2" t="n">
        <v>1</v>
      </c>
      <c r="M76" s="2" t="n">
        <v>0</v>
      </c>
      <c r="N76" s="2" t="n">
        <f aca="false">0.3*K76+0.25*L76+0.2*I76+0.15*J76+0.1*M76</f>
        <v>0.9</v>
      </c>
      <c r="O76" s="2" t="n">
        <v>0</v>
      </c>
      <c r="P76" s="2" t="n">
        <v>1</v>
      </c>
      <c r="Q76" s="2" t="n">
        <v>1</v>
      </c>
      <c r="R76" s="2" t="n">
        <v>0</v>
      </c>
      <c r="S76" s="2" t="n">
        <v>1</v>
      </c>
      <c r="T76" s="2" t="n">
        <f aca="false">0.35*O76+0.25*Q76+0.15*P76+0.15*S76+0.1*R76</f>
        <v>0.55</v>
      </c>
      <c r="U76" s="2" t="n">
        <f aca="false">H76*N76</f>
        <v>0.675</v>
      </c>
      <c r="V76" s="2" t="n">
        <f aca="false">H76*T76</f>
        <v>0.4125</v>
      </c>
      <c r="W76" s="2" t="n">
        <f aca="false">N76*T76</f>
        <v>0.495</v>
      </c>
      <c r="X76" s="2" t="n">
        <f aca="false">H76*N76*T76</f>
        <v>0.37125</v>
      </c>
      <c r="BC76" s="2"/>
      <c r="BD76" s="2"/>
      <c r="BE76" s="2"/>
      <c r="BF76" s="2"/>
      <c r="BL76" s="2"/>
      <c r="BM76" s="2"/>
      <c r="BN76" s="2"/>
      <c r="BO76" s="2"/>
      <c r="BP76" s="2"/>
    </row>
    <row r="77" customFormat="false" ht="13.8" hidden="false" customHeight="false" outlineLevel="0" collapsed="false">
      <c r="A77" s="1" t="n">
        <v>45017</v>
      </c>
      <c r="B77" s="2" t="n">
        <v>34498.75</v>
      </c>
      <c r="C77" s="2" t="n">
        <v>1</v>
      </c>
      <c r="D77" s="2" t="n">
        <v>1</v>
      </c>
      <c r="E77" s="2" t="n">
        <v>0</v>
      </c>
      <c r="F77" s="2" t="n">
        <v>1</v>
      </c>
      <c r="G77" s="2" t="n">
        <v>0</v>
      </c>
      <c r="H77" s="7" t="n">
        <f aca="false">0.3*C77 +0.25*F77+0.2*D77+0.15*E77+0.1*G77</f>
        <v>0.75</v>
      </c>
      <c r="I77" s="2" t="n">
        <v>1</v>
      </c>
      <c r="J77" s="2" t="n">
        <v>1</v>
      </c>
      <c r="K77" s="2" t="n">
        <v>1</v>
      </c>
      <c r="L77" s="2" t="n">
        <v>1</v>
      </c>
      <c r="M77" s="2" t="n">
        <v>0</v>
      </c>
      <c r="N77" s="2" t="n">
        <f aca="false">0.3*K77+0.25*L77+0.2*I77+0.15*J77+0.1*M77</f>
        <v>0.9</v>
      </c>
      <c r="O77" s="2" t="n">
        <v>0</v>
      </c>
      <c r="P77" s="2" t="n">
        <v>1</v>
      </c>
      <c r="Q77" s="2" t="n">
        <v>1</v>
      </c>
      <c r="R77" s="2" t="n">
        <v>0</v>
      </c>
      <c r="S77" s="2" t="n">
        <v>1</v>
      </c>
      <c r="T77" s="2" t="n">
        <f aca="false">0.35*O77+0.25*Q77+0.15*P77+0.15*S77+0.1*R77</f>
        <v>0.55</v>
      </c>
      <c r="U77" s="2" t="n">
        <f aca="false">H77*N77</f>
        <v>0.675</v>
      </c>
      <c r="V77" s="2" t="n">
        <f aca="false">H77*T77</f>
        <v>0.4125</v>
      </c>
      <c r="W77" s="2" t="n">
        <f aca="false">N77*T77</f>
        <v>0.495</v>
      </c>
      <c r="X77" s="2" t="n">
        <f aca="false">H77*N77*T77</f>
        <v>0.37125</v>
      </c>
      <c r="BC77" s="2"/>
      <c r="BD77" s="2"/>
      <c r="BE77" s="2"/>
      <c r="BF77" s="2"/>
      <c r="BL77" s="2"/>
      <c r="BM77" s="2"/>
      <c r="BN77" s="2"/>
      <c r="BO77" s="2"/>
      <c r="BP77" s="2"/>
    </row>
    <row r="78" customFormat="false" ht="13.8" hidden="false" customHeight="false" outlineLevel="0" collapsed="false">
      <c r="A78" s="1" t="n">
        <v>45047</v>
      </c>
      <c r="B78" s="2" t="n">
        <v>33139.6304347826</v>
      </c>
      <c r="C78" s="2" t="n">
        <v>1</v>
      </c>
      <c r="D78" s="2" t="n">
        <v>1</v>
      </c>
      <c r="E78" s="2" t="n">
        <v>0</v>
      </c>
      <c r="F78" s="2" t="n">
        <v>1</v>
      </c>
      <c r="G78" s="2" t="n">
        <v>0</v>
      </c>
      <c r="H78" s="7" t="n">
        <f aca="false">0.3*C78 +0.25*F78+0.2*D78+0.15*E78+0.1*G78</f>
        <v>0.75</v>
      </c>
      <c r="I78" s="2" t="n">
        <v>1</v>
      </c>
      <c r="J78" s="2" t="n">
        <v>1</v>
      </c>
      <c r="K78" s="2" t="n">
        <v>1</v>
      </c>
      <c r="L78" s="2" t="n">
        <v>1</v>
      </c>
      <c r="M78" s="2" t="n">
        <v>0</v>
      </c>
      <c r="N78" s="2" t="n">
        <f aca="false">0.3*K78+0.25*L78+0.2*I78+0.15*J78+0.1*M78</f>
        <v>0.9</v>
      </c>
      <c r="O78" s="2" t="n">
        <v>0</v>
      </c>
      <c r="P78" s="2" t="n">
        <v>1</v>
      </c>
      <c r="Q78" s="2" t="n">
        <v>1</v>
      </c>
      <c r="R78" s="2" t="n">
        <v>0</v>
      </c>
      <c r="S78" s="2" t="n">
        <v>1</v>
      </c>
      <c r="T78" s="2" t="n">
        <f aca="false">0.35*O78+0.25*Q78+0.15*P78+0.15*S78+0.1*R78</f>
        <v>0.55</v>
      </c>
      <c r="U78" s="2" t="n">
        <f aca="false">H78*N78</f>
        <v>0.675</v>
      </c>
      <c r="V78" s="2" t="n">
        <f aca="false">H78*T78</f>
        <v>0.4125</v>
      </c>
      <c r="W78" s="2" t="n">
        <f aca="false">N78*T78</f>
        <v>0.495</v>
      </c>
      <c r="X78" s="2" t="n">
        <f aca="false">H78*N78*T78</f>
        <v>0.37125</v>
      </c>
      <c r="BC78" s="2"/>
      <c r="BD78" s="2"/>
      <c r="BE78" s="2"/>
      <c r="BF78" s="2"/>
      <c r="BL78" s="2"/>
      <c r="BM78" s="2"/>
      <c r="BN78" s="2"/>
      <c r="BO78" s="2"/>
      <c r="BP78" s="2"/>
    </row>
    <row r="79" customFormat="false" ht="13.8" hidden="false" customHeight="false" outlineLevel="0" collapsed="false">
      <c r="A79" s="1" t="n">
        <v>45078</v>
      </c>
      <c r="B79" s="2" t="n">
        <v>29350.6363636363</v>
      </c>
      <c r="C79" s="2" t="n">
        <v>1</v>
      </c>
      <c r="D79" s="2" t="n">
        <v>1</v>
      </c>
      <c r="E79" s="2" t="n">
        <v>0</v>
      </c>
      <c r="F79" s="2" t="n">
        <v>1</v>
      </c>
      <c r="G79" s="2" t="n">
        <v>0</v>
      </c>
      <c r="H79" s="7" t="n">
        <f aca="false">0.3*C79 +0.25*F79+0.2*D79+0.15*E79+0.1*G79</f>
        <v>0.75</v>
      </c>
      <c r="I79" s="2" t="n">
        <v>1</v>
      </c>
      <c r="J79" s="2" t="n">
        <v>1</v>
      </c>
      <c r="K79" s="2" t="n">
        <v>1</v>
      </c>
      <c r="L79" s="2" t="n">
        <v>1</v>
      </c>
      <c r="M79" s="2" t="n">
        <v>0</v>
      </c>
      <c r="N79" s="2" t="n">
        <f aca="false">0.3*K79+0.25*L79+0.2*I79+0.15*J79+0.1*M79</f>
        <v>0.9</v>
      </c>
      <c r="O79" s="2" t="n">
        <v>0</v>
      </c>
      <c r="P79" s="2" t="n">
        <v>1</v>
      </c>
      <c r="Q79" s="2" t="n">
        <v>1</v>
      </c>
      <c r="R79" s="2" t="n">
        <v>0</v>
      </c>
      <c r="S79" s="2" t="n">
        <v>1</v>
      </c>
      <c r="T79" s="2" t="n">
        <f aca="false">0.35*O79+0.25*Q79+0.15*P79+0.15*S79+0.1*R79</f>
        <v>0.55</v>
      </c>
      <c r="U79" s="2" t="n">
        <f aca="false">H79*N79</f>
        <v>0.675</v>
      </c>
      <c r="V79" s="2" t="n">
        <f aca="false">H79*T79</f>
        <v>0.4125</v>
      </c>
      <c r="W79" s="2" t="n">
        <f aca="false">N79*T79</f>
        <v>0.495</v>
      </c>
      <c r="X79" s="2" t="n">
        <f aca="false">H79*N79*T79</f>
        <v>0.37125</v>
      </c>
      <c r="BC79" s="2"/>
      <c r="BD79" s="2"/>
      <c r="BE79" s="2"/>
      <c r="BF79" s="2"/>
      <c r="BL79" s="2"/>
      <c r="BM79" s="2"/>
      <c r="BN79" s="2"/>
      <c r="BO79" s="2"/>
      <c r="BP79" s="2"/>
    </row>
    <row r="80" customFormat="false" ht="13.8" hidden="false" customHeight="false" outlineLevel="0" collapsed="false">
      <c r="A80" s="1" t="n">
        <v>45108</v>
      </c>
      <c r="B80" s="2" t="n">
        <v>32982.2976190476</v>
      </c>
      <c r="C80" s="2" t="n">
        <v>1</v>
      </c>
      <c r="D80" s="2" t="n">
        <v>1</v>
      </c>
      <c r="E80" s="2" t="n">
        <v>0</v>
      </c>
      <c r="F80" s="2" t="n">
        <v>1</v>
      </c>
      <c r="G80" s="2" t="n">
        <v>0</v>
      </c>
      <c r="H80" s="7" t="n">
        <f aca="false">0.3*C80 +0.25*F80+0.2*D80+0.15*E80+0.1*G80</f>
        <v>0.75</v>
      </c>
      <c r="I80" s="2" t="n">
        <v>1</v>
      </c>
      <c r="J80" s="2" t="n">
        <v>1</v>
      </c>
      <c r="K80" s="2" t="n">
        <v>1</v>
      </c>
      <c r="L80" s="2" t="n">
        <v>1</v>
      </c>
      <c r="M80" s="2" t="n">
        <v>0</v>
      </c>
      <c r="N80" s="2" t="n">
        <f aca="false">0.3*K80+0.25*L80+0.2*I80+0.15*J80+0.1*M80</f>
        <v>0.9</v>
      </c>
      <c r="O80" s="2" t="n">
        <v>0</v>
      </c>
      <c r="P80" s="2" t="n">
        <v>1</v>
      </c>
      <c r="Q80" s="2" t="n">
        <v>1</v>
      </c>
      <c r="R80" s="2" t="n">
        <v>0</v>
      </c>
      <c r="S80" s="2" t="n">
        <v>1</v>
      </c>
      <c r="T80" s="2" t="n">
        <f aca="false">0.35*O80+0.25*Q80+0.15*P80+0.15*S80+0.1*R80</f>
        <v>0.55</v>
      </c>
      <c r="U80" s="2" t="n">
        <f aca="false">H80*N80</f>
        <v>0.675</v>
      </c>
      <c r="V80" s="2" t="n">
        <f aca="false">H80*T80</f>
        <v>0.4125</v>
      </c>
      <c r="W80" s="2" t="n">
        <f aca="false">N80*T80</f>
        <v>0.495</v>
      </c>
      <c r="X80" s="2" t="n">
        <f aca="false">H80*N80*T80</f>
        <v>0.37125</v>
      </c>
      <c r="BC80" s="2"/>
      <c r="BD80" s="2"/>
      <c r="BE80" s="2"/>
      <c r="BF80" s="2"/>
      <c r="BL80" s="2"/>
      <c r="BM80" s="2"/>
      <c r="BN80" s="2"/>
      <c r="BO80" s="2"/>
      <c r="BP80" s="2"/>
    </row>
    <row r="81" customFormat="false" ht="13.8" hidden="false" customHeight="false" outlineLevel="0" collapsed="false">
      <c r="A81" s="1" t="n">
        <v>45139</v>
      </c>
      <c r="B81" s="2" t="n">
        <v>32980.652173913</v>
      </c>
      <c r="C81" s="2" t="n">
        <v>1</v>
      </c>
      <c r="D81" s="2" t="n">
        <v>1</v>
      </c>
      <c r="E81" s="2" t="n">
        <v>0</v>
      </c>
      <c r="F81" s="2" t="n">
        <v>1</v>
      </c>
      <c r="G81" s="2" t="n">
        <v>0</v>
      </c>
      <c r="H81" s="7" t="n">
        <f aca="false">0.3*C81 +0.25*F81+0.2*D81+0.15*E81+0.1*G81</f>
        <v>0.75</v>
      </c>
      <c r="I81" s="2" t="n">
        <v>1</v>
      </c>
      <c r="J81" s="2" t="n">
        <v>1</v>
      </c>
      <c r="K81" s="2" t="n">
        <v>1</v>
      </c>
      <c r="L81" s="2" t="n">
        <v>1</v>
      </c>
      <c r="M81" s="2" t="n">
        <v>0</v>
      </c>
      <c r="N81" s="2" t="n">
        <f aca="false">0.3*K81+0.25*L81+0.2*I81+0.15*J81+0.1*M81</f>
        <v>0.9</v>
      </c>
      <c r="O81" s="2" t="n">
        <v>0</v>
      </c>
      <c r="P81" s="2" t="n">
        <v>1</v>
      </c>
      <c r="Q81" s="2" t="n">
        <v>1</v>
      </c>
      <c r="R81" s="2" t="n">
        <v>0</v>
      </c>
      <c r="S81" s="2" t="n">
        <v>1</v>
      </c>
      <c r="T81" s="2" t="n">
        <f aca="false">0.35*O81+0.25*Q81+0.15*P81+0.15*S81+0.1*R81</f>
        <v>0.55</v>
      </c>
      <c r="U81" s="2" t="n">
        <f aca="false">H81*N81</f>
        <v>0.675</v>
      </c>
      <c r="V81" s="2" t="n">
        <f aca="false">H81*T81</f>
        <v>0.4125</v>
      </c>
      <c r="W81" s="2" t="n">
        <f aca="false">N81*T81</f>
        <v>0.495</v>
      </c>
      <c r="X81" s="2" t="n">
        <f aca="false">H81*N81*T81</f>
        <v>0.37125</v>
      </c>
      <c r="BC81" s="2"/>
      <c r="BD81" s="2"/>
      <c r="BE81" s="2"/>
      <c r="BF81" s="2"/>
      <c r="BL81" s="2"/>
      <c r="BM81" s="2"/>
      <c r="BN81" s="2"/>
      <c r="BO81" s="2"/>
      <c r="BP81" s="2"/>
    </row>
    <row r="82" customFormat="false" ht="13.8" hidden="false" customHeight="false" outlineLevel="0" collapsed="false">
      <c r="A82" s="1" t="n">
        <v>45170</v>
      </c>
      <c r="B82" s="2" t="n">
        <v>32981.8809523809</v>
      </c>
      <c r="C82" s="2" t="n">
        <v>1</v>
      </c>
      <c r="D82" s="2" t="n">
        <v>1</v>
      </c>
      <c r="E82" s="2" t="n">
        <v>0</v>
      </c>
      <c r="F82" s="2" t="n">
        <v>1</v>
      </c>
      <c r="G82" s="2" t="n">
        <v>0</v>
      </c>
      <c r="H82" s="7" t="n">
        <f aca="false">0.3*C82 +0.25*F82+0.2*D82+0.15*E82+0.1*G82</f>
        <v>0.75</v>
      </c>
      <c r="I82" s="2" t="n">
        <v>1</v>
      </c>
      <c r="J82" s="2" t="n">
        <v>1</v>
      </c>
      <c r="K82" s="2" t="n">
        <v>1</v>
      </c>
      <c r="L82" s="2" t="n">
        <v>1</v>
      </c>
      <c r="M82" s="2" t="n">
        <v>0</v>
      </c>
      <c r="N82" s="2" t="n">
        <f aca="false">0.3*K82+0.25*L82+0.2*I82+0.15*J82+0.1*M82</f>
        <v>0.9</v>
      </c>
      <c r="O82" s="2" t="n">
        <v>0</v>
      </c>
      <c r="P82" s="2" t="n">
        <v>1</v>
      </c>
      <c r="Q82" s="2" t="n">
        <v>1</v>
      </c>
      <c r="R82" s="2" t="n">
        <v>0</v>
      </c>
      <c r="S82" s="2" t="n">
        <v>1</v>
      </c>
      <c r="T82" s="2" t="n">
        <f aca="false">0.35*O82+0.25*Q82+0.15*P82+0.15*S82+0.1*R82</f>
        <v>0.55</v>
      </c>
      <c r="U82" s="2" t="n">
        <f aca="false">H82*N82</f>
        <v>0.675</v>
      </c>
      <c r="V82" s="2" t="n">
        <f aca="false">H82*T82</f>
        <v>0.4125</v>
      </c>
      <c r="W82" s="2" t="n">
        <f aca="false">N82*T82</f>
        <v>0.495</v>
      </c>
      <c r="X82" s="2" t="n">
        <f aca="false">H82*N82*T82</f>
        <v>0.37125</v>
      </c>
      <c r="BC82" s="2"/>
      <c r="BD82" s="2"/>
      <c r="BE82" s="2"/>
      <c r="BF82" s="2"/>
      <c r="BL82" s="2"/>
      <c r="BM82" s="2"/>
      <c r="BN82" s="2"/>
      <c r="BO82" s="2"/>
      <c r="BP82" s="2"/>
    </row>
    <row r="83" customFormat="false" ht="13.8" hidden="false" customHeight="false" outlineLevel="0" collapsed="false">
      <c r="A83" s="1" t="n">
        <v>45200</v>
      </c>
      <c r="B83" s="2" t="n">
        <v>32982.75</v>
      </c>
      <c r="C83" s="2" t="n">
        <v>1</v>
      </c>
      <c r="D83" s="2" t="n">
        <v>1</v>
      </c>
      <c r="E83" s="2" t="n">
        <v>0</v>
      </c>
      <c r="F83" s="2" t="n">
        <v>1</v>
      </c>
      <c r="G83" s="2" t="n">
        <v>0</v>
      </c>
      <c r="H83" s="7" t="n">
        <f aca="false">0.3*C83 +0.25*F83+0.2*D83+0.15*E83+0.1*G83</f>
        <v>0.75</v>
      </c>
      <c r="I83" s="2" t="n">
        <v>1</v>
      </c>
      <c r="J83" s="2" t="n">
        <v>1</v>
      </c>
      <c r="K83" s="2" t="n">
        <v>1</v>
      </c>
      <c r="L83" s="2" t="n">
        <v>1</v>
      </c>
      <c r="M83" s="2" t="n">
        <v>0</v>
      </c>
      <c r="N83" s="2" t="n">
        <f aca="false">0.3*K83+0.25*L83+0.2*I83+0.15*J83+0.1*M83</f>
        <v>0.9</v>
      </c>
      <c r="O83" s="2" t="n">
        <v>0</v>
      </c>
      <c r="P83" s="2" t="n">
        <v>1</v>
      </c>
      <c r="Q83" s="2" t="n">
        <v>1</v>
      </c>
      <c r="R83" s="2" t="n">
        <v>0</v>
      </c>
      <c r="S83" s="2" t="n">
        <v>1</v>
      </c>
      <c r="T83" s="2" t="n">
        <f aca="false">0.35*O83+0.25*Q83+0.15*P83+0.15*S83+0.1*R83</f>
        <v>0.55</v>
      </c>
      <c r="U83" s="2" t="n">
        <f aca="false">H83*N83</f>
        <v>0.675</v>
      </c>
      <c r="V83" s="2" t="n">
        <f aca="false">H83*T83</f>
        <v>0.4125</v>
      </c>
      <c r="W83" s="2" t="n">
        <f aca="false">N83*T83</f>
        <v>0.495</v>
      </c>
      <c r="X83" s="2" t="n">
        <f aca="false">H83*N83*T83</f>
        <v>0.37125</v>
      </c>
      <c r="BC83" s="2"/>
      <c r="BD83" s="2"/>
      <c r="BE83" s="2"/>
      <c r="BF83" s="2"/>
      <c r="BL83" s="2"/>
      <c r="BM83" s="2"/>
      <c r="BN83" s="2"/>
      <c r="BO83" s="2"/>
      <c r="BP83" s="2"/>
    </row>
    <row r="84" customFormat="false" ht="13.8" hidden="false" customHeight="false" outlineLevel="0" collapsed="false">
      <c r="A84" s="1" t="n">
        <v>45231</v>
      </c>
      <c r="B84" s="2" t="n">
        <v>33003.7272727272</v>
      </c>
      <c r="C84" s="2" t="n">
        <v>1</v>
      </c>
      <c r="D84" s="2" t="n">
        <v>1</v>
      </c>
      <c r="E84" s="2" t="n">
        <v>0</v>
      </c>
      <c r="F84" s="2" t="n">
        <v>1</v>
      </c>
      <c r="G84" s="2" t="n">
        <v>0</v>
      </c>
      <c r="H84" s="7" t="n">
        <f aca="false">0.3*C84 +0.25*F84+0.2*D84+0.15*E84+0.1*G84</f>
        <v>0.75</v>
      </c>
      <c r="I84" s="2" t="n">
        <v>1</v>
      </c>
      <c r="J84" s="2" t="n">
        <v>1</v>
      </c>
      <c r="K84" s="2" t="n">
        <v>1</v>
      </c>
      <c r="L84" s="2" t="n">
        <v>1</v>
      </c>
      <c r="M84" s="2" t="n">
        <v>0</v>
      </c>
      <c r="N84" s="2" t="n">
        <f aca="false">0.3*K84+0.25*L84+0.2*I84+0.15*J84+0.1*M84</f>
        <v>0.9</v>
      </c>
      <c r="O84" s="2" t="n">
        <v>0</v>
      </c>
      <c r="P84" s="2" t="n">
        <v>1</v>
      </c>
      <c r="Q84" s="2" t="n">
        <v>1</v>
      </c>
      <c r="R84" s="2" t="n">
        <v>0</v>
      </c>
      <c r="S84" s="2" t="n">
        <v>1</v>
      </c>
      <c r="T84" s="2" t="n">
        <f aca="false">0.35*O84+0.25*Q84+0.15*P84+0.15*S84+0.1*R84</f>
        <v>0.55</v>
      </c>
      <c r="U84" s="2" t="n">
        <f aca="false">H84*N84</f>
        <v>0.675</v>
      </c>
      <c r="V84" s="2" t="n">
        <f aca="false">H84*T84</f>
        <v>0.4125</v>
      </c>
      <c r="W84" s="2" t="n">
        <f aca="false">N84*T84</f>
        <v>0.495</v>
      </c>
      <c r="X84" s="2" t="n">
        <f aca="false">H84*N84*T84</f>
        <v>0.37125</v>
      </c>
      <c r="BC84" s="2"/>
      <c r="BD84" s="2"/>
      <c r="BE84" s="2"/>
      <c r="BF84" s="2"/>
      <c r="BL84" s="2"/>
      <c r="BM84" s="2"/>
      <c r="BN84" s="2"/>
      <c r="BO84" s="2"/>
      <c r="BP84" s="2"/>
    </row>
    <row r="85" customFormat="false" ht="13.8" hidden="false" customHeight="false" outlineLevel="0" collapsed="false">
      <c r="A85" s="1" t="n">
        <v>45261</v>
      </c>
      <c r="B85" s="2" t="n">
        <v>30025.6666666666</v>
      </c>
      <c r="C85" s="2" t="n">
        <v>1</v>
      </c>
      <c r="D85" s="2" t="n">
        <v>1</v>
      </c>
      <c r="E85" s="2" t="n">
        <v>0</v>
      </c>
      <c r="F85" s="2" t="n">
        <v>1</v>
      </c>
      <c r="G85" s="2" t="n">
        <v>0</v>
      </c>
      <c r="H85" s="7" t="n">
        <f aca="false">0.3*C85 +0.25*F85+0.2*D85+0.15*E85+0.1*G85</f>
        <v>0.75</v>
      </c>
      <c r="I85" s="2" t="n">
        <v>1</v>
      </c>
      <c r="J85" s="2" t="n">
        <v>1</v>
      </c>
      <c r="K85" s="2" t="n">
        <v>1</v>
      </c>
      <c r="L85" s="2" t="n">
        <v>1</v>
      </c>
      <c r="M85" s="2" t="n">
        <v>0</v>
      </c>
      <c r="N85" s="2" t="n">
        <f aca="false">0.3*K85+0.25*L85+0.2*I85+0.15*J85+0.1*M85</f>
        <v>0.9</v>
      </c>
      <c r="O85" s="2" t="n">
        <v>0</v>
      </c>
      <c r="P85" s="2" t="n">
        <v>1</v>
      </c>
      <c r="Q85" s="2" t="n">
        <v>1</v>
      </c>
      <c r="R85" s="2" t="n">
        <v>0</v>
      </c>
      <c r="S85" s="2" t="n">
        <v>1</v>
      </c>
      <c r="T85" s="2" t="n">
        <f aca="false">0.35*O85+0.25*Q85+0.15*P85+0.15*S85+0.1*R85</f>
        <v>0.55</v>
      </c>
      <c r="U85" s="2" t="n">
        <f aca="false">H85*N85</f>
        <v>0.675</v>
      </c>
      <c r="V85" s="2" t="n">
        <f aca="false">H85*T85</f>
        <v>0.4125</v>
      </c>
      <c r="W85" s="2" t="n">
        <f aca="false">N85*T85</f>
        <v>0.495</v>
      </c>
      <c r="X85" s="2" t="n">
        <f aca="false">H85*N85*T85</f>
        <v>0.37125</v>
      </c>
      <c r="BC85" s="2"/>
      <c r="BD85" s="2"/>
      <c r="BE85" s="2"/>
      <c r="BF85" s="2"/>
      <c r="BL85" s="2"/>
      <c r="BM85" s="2"/>
      <c r="BN85" s="2"/>
      <c r="BO85" s="2"/>
      <c r="BP85" s="2"/>
    </row>
    <row r="86" customFormat="false" ht="13.8" hidden="false" customHeight="false" outlineLevel="0" collapsed="false">
      <c r="A86" s="1" t="n">
        <v>45292</v>
      </c>
      <c r="B86" s="2" t="n">
        <v>28691.4239130434</v>
      </c>
      <c r="C86" s="2" t="n">
        <v>1</v>
      </c>
      <c r="D86" s="2" t="n">
        <v>1</v>
      </c>
      <c r="E86" s="2" t="n">
        <v>0</v>
      </c>
      <c r="F86" s="2" t="n">
        <v>1</v>
      </c>
      <c r="G86" s="2" t="n">
        <v>1</v>
      </c>
      <c r="H86" s="7" t="n">
        <f aca="false">0.3*C86 +0.25*F86+0.2*D86+0.15*E86+0.1*G86</f>
        <v>0.85</v>
      </c>
      <c r="I86" s="2" t="n">
        <v>1</v>
      </c>
      <c r="J86" s="2" t="n">
        <v>1</v>
      </c>
      <c r="K86" s="2" t="n">
        <v>1</v>
      </c>
      <c r="L86" s="2" t="n">
        <v>1</v>
      </c>
      <c r="M86" s="2" t="n">
        <v>0</v>
      </c>
      <c r="N86" s="2" t="n">
        <f aca="false">0.3*K86+0.25*L86+0.2*I86+0.15*J86+0.1*M86</f>
        <v>0.9</v>
      </c>
      <c r="O86" s="2" t="n">
        <v>0</v>
      </c>
      <c r="P86" s="2" t="n">
        <v>1</v>
      </c>
      <c r="Q86" s="2" t="n">
        <v>1</v>
      </c>
      <c r="R86" s="2" t="n">
        <v>0</v>
      </c>
      <c r="S86" s="2" t="n">
        <v>1</v>
      </c>
      <c r="T86" s="2" t="n">
        <f aca="false">0.35*O86+0.25*Q86+0.15*P86+0.15*S86+0.1*R86</f>
        <v>0.55</v>
      </c>
      <c r="U86" s="2" t="n">
        <f aca="false">H86*N86</f>
        <v>0.765</v>
      </c>
      <c r="V86" s="2" t="n">
        <f aca="false">H86*T86</f>
        <v>0.4675</v>
      </c>
      <c r="W86" s="2" t="n">
        <f aca="false">N86*T86</f>
        <v>0.495</v>
      </c>
      <c r="X86" s="2" t="n">
        <f aca="false">H86*N86*T86</f>
        <v>0.42075</v>
      </c>
      <c r="BC86" s="2"/>
      <c r="BD86" s="2"/>
      <c r="BE86" s="2"/>
      <c r="BF86" s="2"/>
      <c r="BL86" s="2"/>
      <c r="BM86" s="2"/>
      <c r="BN86" s="2"/>
      <c r="BO86" s="2"/>
      <c r="BP86" s="2"/>
    </row>
    <row r="87" customFormat="false" ht="13.8" hidden="false" customHeight="false" outlineLevel="0" collapsed="false">
      <c r="A87" s="1" t="n">
        <v>45323</v>
      </c>
      <c r="B87" s="2" t="n">
        <v>28271.0476190476</v>
      </c>
      <c r="C87" s="2" t="n">
        <v>1</v>
      </c>
      <c r="D87" s="2" t="n">
        <v>1</v>
      </c>
      <c r="E87" s="2" t="n">
        <v>0</v>
      </c>
      <c r="F87" s="2" t="n">
        <v>1</v>
      </c>
      <c r="G87" s="2" t="n">
        <v>1</v>
      </c>
      <c r="H87" s="7" t="n">
        <f aca="false">0.3*C87 +0.25*F87+0.2*D87+0.15*E87+0.1*G87</f>
        <v>0.85</v>
      </c>
      <c r="I87" s="2" t="n">
        <v>1</v>
      </c>
      <c r="J87" s="2" t="n">
        <v>1</v>
      </c>
      <c r="K87" s="2" t="n">
        <v>1</v>
      </c>
      <c r="L87" s="2" t="n">
        <v>1</v>
      </c>
      <c r="M87" s="2" t="n">
        <v>0</v>
      </c>
      <c r="N87" s="2" t="n">
        <f aca="false">0.3*K87+0.25*L87+0.2*I87+0.15*J87+0.1*M87</f>
        <v>0.9</v>
      </c>
      <c r="O87" s="2" t="n">
        <v>0</v>
      </c>
      <c r="P87" s="2" t="n">
        <v>1</v>
      </c>
      <c r="Q87" s="2" t="n">
        <v>1</v>
      </c>
      <c r="R87" s="2" t="n">
        <v>0</v>
      </c>
      <c r="S87" s="2" t="n">
        <v>1</v>
      </c>
      <c r="T87" s="2" t="n">
        <f aca="false">0.35*O87+0.25*Q87+0.15*P87+0.15*S87+0.1*R87</f>
        <v>0.55</v>
      </c>
      <c r="U87" s="2" t="n">
        <f aca="false">H87*N87</f>
        <v>0.765</v>
      </c>
      <c r="V87" s="2" t="n">
        <f aca="false">H87*T87</f>
        <v>0.4675</v>
      </c>
      <c r="W87" s="2" t="n">
        <f aca="false">N87*T87</f>
        <v>0.495</v>
      </c>
      <c r="X87" s="2" t="n">
        <f aca="false">H87*N87*T87</f>
        <v>0.42075</v>
      </c>
      <c r="BC87" s="2"/>
      <c r="BD87" s="2"/>
      <c r="BE87" s="2"/>
      <c r="BF87" s="2"/>
      <c r="BL87" s="2"/>
      <c r="BM87" s="2"/>
      <c r="BN87" s="2"/>
      <c r="BO87" s="2"/>
      <c r="BP87" s="2"/>
    </row>
    <row r="88" customFormat="false" ht="13.8" hidden="false" customHeight="false" outlineLevel="0" collapsed="false">
      <c r="A88" s="1" t="n">
        <v>45352</v>
      </c>
      <c r="B88" s="2" t="n">
        <v>28282.3571428571</v>
      </c>
      <c r="C88" s="2" t="n">
        <v>1</v>
      </c>
      <c r="D88" s="2" t="n">
        <v>1</v>
      </c>
      <c r="E88" s="2" t="n">
        <v>0</v>
      </c>
      <c r="F88" s="2" t="n">
        <v>1</v>
      </c>
      <c r="G88" s="2" t="n">
        <v>1</v>
      </c>
      <c r="H88" s="7" t="n">
        <f aca="false">0.3*C88 +0.25*F88+0.2*D88+0.15*E88+0.1*G88</f>
        <v>0.85</v>
      </c>
      <c r="I88" s="2" t="n">
        <v>1</v>
      </c>
      <c r="J88" s="2" t="n">
        <v>1</v>
      </c>
      <c r="K88" s="2" t="n">
        <v>1</v>
      </c>
      <c r="L88" s="2" t="n">
        <v>1</v>
      </c>
      <c r="M88" s="2" t="n">
        <v>0</v>
      </c>
      <c r="N88" s="2" t="n">
        <f aca="false">0.3*K88+0.25*L88+0.2*I88+0.15*J88+0.1*M88</f>
        <v>0.9</v>
      </c>
      <c r="O88" s="2" t="n">
        <v>0</v>
      </c>
      <c r="P88" s="2" t="n">
        <v>1</v>
      </c>
      <c r="Q88" s="2" t="n">
        <v>1</v>
      </c>
      <c r="R88" s="2" t="n">
        <v>0</v>
      </c>
      <c r="S88" s="2" t="n">
        <v>1</v>
      </c>
      <c r="T88" s="2" t="n">
        <f aca="false">0.35*O88+0.25*Q88+0.15*P88+0.15*S88+0.1*R88</f>
        <v>0.55</v>
      </c>
      <c r="U88" s="2" t="n">
        <f aca="false">H88*N88</f>
        <v>0.765</v>
      </c>
      <c r="V88" s="2" t="n">
        <f aca="false">H88*T88</f>
        <v>0.4675</v>
      </c>
      <c r="W88" s="2" t="n">
        <f aca="false">N88*T88</f>
        <v>0.495</v>
      </c>
      <c r="X88" s="2" t="n">
        <f aca="false">H88*N88*T88</f>
        <v>0.42075</v>
      </c>
      <c r="BC88" s="2"/>
      <c r="BD88" s="2"/>
      <c r="BE88" s="2"/>
      <c r="BF88" s="2"/>
      <c r="BL88" s="2"/>
      <c r="BM88" s="2"/>
      <c r="BN88" s="2"/>
      <c r="BO88" s="2"/>
      <c r="BP88" s="2"/>
    </row>
    <row r="89" customFormat="false" ht="13.8" hidden="false" customHeight="false" outlineLevel="0" collapsed="false">
      <c r="A89" s="1" t="n">
        <v>45383</v>
      </c>
      <c r="B89" s="2" t="n">
        <v>27997.0681818181</v>
      </c>
      <c r="C89" s="2" t="n">
        <v>1</v>
      </c>
      <c r="D89" s="2" t="n">
        <v>1</v>
      </c>
      <c r="E89" s="2" t="n">
        <v>0</v>
      </c>
      <c r="F89" s="2" t="n">
        <v>1</v>
      </c>
      <c r="G89" s="2" t="n">
        <v>1</v>
      </c>
      <c r="H89" s="7" t="n">
        <f aca="false">0.3*C89 +0.25*F89+0.2*D89+0.15*E89+0.1*G89</f>
        <v>0.85</v>
      </c>
      <c r="I89" s="2" t="n">
        <v>1</v>
      </c>
      <c r="J89" s="2" t="n">
        <v>1</v>
      </c>
      <c r="K89" s="2" t="n">
        <v>1</v>
      </c>
      <c r="L89" s="2" t="n">
        <v>1</v>
      </c>
      <c r="M89" s="2" t="n">
        <v>0</v>
      </c>
      <c r="N89" s="2" t="n">
        <f aca="false">0.3*K89+0.25*L89+0.2*I89+0.15*J89+0.1*M89</f>
        <v>0.9</v>
      </c>
      <c r="O89" s="2" t="n">
        <v>0</v>
      </c>
      <c r="P89" s="2" t="n">
        <v>1</v>
      </c>
      <c r="Q89" s="2" t="n">
        <v>1</v>
      </c>
      <c r="R89" s="2" t="n">
        <v>0</v>
      </c>
      <c r="S89" s="2" t="n">
        <v>1</v>
      </c>
      <c r="T89" s="2" t="n">
        <f aca="false">0.35*O89+0.25*Q89+0.15*P89+0.15*S89+0.1*R89</f>
        <v>0.55</v>
      </c>
      <c r="U89" s="2" t="n">
        <f aca="false">H89*N89</f>
        <v>0.765</v>
      </c>
      <c r="V89" s="2" t="n">
        <f aca="false">H89*T89</f>
        <v>0.4675</v>
      </c>
      <c r="W89" s="2" t="n">
        <f aca="false">N89*T89</f>
        <v>0.495</v>
      </c>
      <c r="X89" s="2" t="n">
        <f aca="false">H89*N89*T89</f>
        <v>0.42075</v>
      </c>
      <c r="BC89" s="2"/>
      <c r="BD89" s="2"/>
      <c r="BE89" s="2"/>
      <c r="BF89" s="2"/>
      <c r="BL89" s="2"/>
      <c r="BM89" s="2"/>
      <c r="BN89" s="2"/>
      <c r="BO89" s="2"/>
      <c r="BP89" s="2"/>
    </row>
    <row r="90" customFormat="false" ht="13.8" hidden="false" customHeight="false" outlineLevel="0" collapsed="false">
      <c r="A90" s="1" t="n">
        <v>45413</v>
      </c>
      <c r="B90" s="2" t="n">
        <v>27440.2391304347</v>
      </c>
      <c r="C90" s="2" t="n">
        <v>1</v>
      </c>
      <c r="D90" s="2" t="n">
        <v>1</v>
      </c>
      <c r="E90" s="2" t="n">
        <v>0</v>
      </c>
      <c r="F90" s="2" t="n">
        <v>1</v>
      </c>
      <c r="G90" s="2" t="n">
        <v>1</v>
      </c>
      <c r="H90" s="7" t="n">
        <f aca="false">0.3*C90 +0.25*F90+0.2*D90+0.15*E90+0.1*G90</f>
        <v>0.85</v>
      </c>
      <c r="I90" s="2" t="n">
        <v>1</v>
      </c>
      <c r="J90" s="2" t="n">
        <v>1</v>
      </c>
      <c r="K90" s="2" t="n">
        <v>1</v>
      </c>
      <c r="L90" s="2" t="n">
        <v>1</v>
      </c>
      <c r="M90" s="2" t="n">
        <v>0</v>
      </c>
      <c r="N90" s="2" t="n">
        <f aca="false">0.3*K90+0.25*L90+0.2*I90+0.15*J90+0.1*M90</f>
        <v>0.9</v>
      </c>
      <c r="O90" s="2" t="n">
        <v>0</v>
      </c>
      <c r="P90" s="2" t="n">
        <v>1</v>
      </c>
      <c r="Q90" s="2" t="n">
        <v>1</v>
      </c>
      <c r="R90" s="2" t="n">
        <v>0</v>
      </c>
      <c r="S90" s="2" t="n">
        <v>1</v>
      </c>
      <c r="T90" s="2" t="n">
        <f aca="false">0.35*O90+0.25*Q90+0.15*P90+0.15*S90+0.1*R90</f>
        <v>0.55</v>
      </c>
      <c r="U90" s="2" t="n">
        <f aca="false">H90*N90</f>
        <v>0.765</v>
      </c>
      <c r="V90" s="2" t="n">
        <f aca="false">H90*T90</f>
        <v>0.4675</v>
      </c>
      <c r="W90" s="2" t="n">
        <f aca="false">N90*T90</f>
        <v>0.495</v>
      </c>
      <c r="X90" s="2" t="n">
        <f aca="false">H90*N90*T90</f>
        <v>0.42075</v>
      </c>
      <c r="BC90" s="2"/>
      <c r="BD90" s="2"/>
      <c r="BE90" s="2"/>
      <c r="BF90" s="2"/>
      <c r="BL90" s="2"/>
      <c r="BM90" s="2"/>
      <c r="BN90" s="2"/>
      <c r="BO90" s="2"/>
      <c r="BP90" s="2"/>
    </row>
    <row r="91" customFormat="false" ht="13.8" hidden="false" customHeight="false" outlineLevel="0" collapsed="false">
      <c r="A91" s="1" t="n">
        <v>45444</v>
      </c>
      <c r="B91" s="2" t="n">
        <v>26825.4</v>
      </c>
      <c r="C91" s="2" t="n">
        <v>1</v>
      </c>
      <c r="D91" s="2" t="n">
        <v>1</v>
      </c>
      <c r="E91" s="2" t="n">
        <v>0</v>
      </c>
      <c r="F91" s="2" t="n">
        <v>1</v>
      </c>
      <c r="G91" s="2" t="n">
        <v>1</v>
      </c>
      <c r="H91" s="7" t="n">
        <f aca="false">0.3*C91 +0.25*F91+0.2*D91+0.15*E91+0.1*G91</f>
        <v>0.85</v>
      </c>
      <c r="I91" s="2" t="n">
        <v>1</v>
      </c>
      <c r="J91" s="2" t="n">
        <v>1</v>
      </c>
      <c r="K91" s="2" t="n">
        <v>1</v>
      </c>
      <c r="L91" s="2" t="n">
        <v>1</v>
      </c>
      <c r="M91" s="2" t="n">
        <v>0</v>
      </c>
      <c r="N91" s="2" t="n">
        <f aca="false">0.3*K91+0.25*L91+0.2*I91+0.15*J91+0.1*M91</f>
        <v>0.9</v>
      </c>
      <c r="O91" s="2" t="n">
        <v>0</v>
      </c>
      <c r="P91" s="2" t="n">
        <v>1</v>
      </c>
      <c r="Q91" s="2" t="n">
        <v>1</v>
      </c>
      <c r="R91" s="2" t="n">
        <v>0</v>
      </c>
      <c r="S91" s="2" t="n">
        <v>1</v>
      </c>
      <c r="T91" s="2" t="n">
        <f aca="false">0.35*O91+0.25*Q91+0.15*P91+0.15*S91+0.1*R91</f>
        <v>0.55</v>
      </c>
      <c r="U91" s="2" t="n">
        <f aca="false">H91*N91</f>
        <v>0.765</v>
      </c>
      <c r="V91" s="2" t="n">
        <f aca="false">H91*T91</f>
        <v>0.4675</v>
      </c>
      <c r="W91" s="2" t="n">
        <f aca="false">N91*T91</f>
        <v>0.495</v>
      </c>
      <c r="X91" s="2" t="n">
        <f aca="false">H91*N91*T91</f>
        <v>0.42075</v>
      </c>
      <c r="BC91" s="2"/>
      <c r="BD91" s="2"/>
      <c r="BE91" s="2"/>
      <c r="BF91" s="2"/>
      <c r="BL91" s="2"/>
      <c r="BM91" s="2"/>
      <c r="BN91" s="2"/>
      <c r="BO91" s="2"/>
      <c r="BP91" s="2"/>
    </row>
    <row r="92" customFormat="false" ht="13.8" hidden="false" customHeight="false" outlineLevel="0" collapsed="false">
      <c r="A92" s="1" t="n">
        <v>45474</v>
      </c>
      <c r="B92" s="2" t="n">
        <v>26401.2173913043</v>
      </c>
      <c r="C92" s="2" t="n">
        <v>1</v>
      </c>
      <c r="D92" s="2" t="n">
        <v>1</v>
      </c>
      <c r="E92" s="2" t="n">
        <v>0</v>
      </c>
      <c r="F92" s="2" t="n">
        <v>1</v>
      </c>
      <c r="G92" s="2" t="n">
        <v>1</v>
      </c>
      <c r="H92" s="7" t="n">
        <f aca="false">0.3*C92 +0.25*F92+0.2*D92+0.15*E92+0.1*G92</f>
        <v>0.85</v>
      </c>
      <c r="I92" s="2" t="n">
        <v>1</v>
      </c>
      <c r="J92" s="2" t="n">
        <v>1</v>
      </c>
      <c r="K92" s="2" t="n">
        <v>1</v>
      </c>
      <c r="L92" s="2" t="n">
        <v>1</v>
      </c>
      <c r="M92" s="2" t="n">
        <v>0</v>
      </c>
      <c r="N92" s="2" t="n">
        <f aca="false">0.3*K92+0.25*L92+0.2*I92+0.15*J92+0.1*M92</f>
        <v>0.9</v>
      </c>
      <c r="O92" s="2" t="n">
        <v>0</v>
      </c>
      <c r="P92" s="2" t="n">
        <v>1</v>
      </c>
      <c r="Q92" s="2" t="n">
        <v>1</v>
      </c>
      <c r="R92" s="2" t="n">
        <v>0</v>
      </c>
      <c r="S92" s="2" t="n">
        <v>1</v>
      </c>
      <c r="T92" s="2" t="n">
        <f aca="false">0.35*O92+0.25*Q92+0.15*P92+0.15*S92+0.1*R92</f>
        <v>0.55</v>
      </c>
      <c r="U92" s="2" t="n">
        <f aca="false">H92*N92</f>
        <v>0.765</v>
      </c>
      <c r="V92" s="2" t="n">
        <f aca="false">H92*T92</f>
        <v>0.4675</v>
      </c>
      <c r="W92" s="2" t="n">
        <f aca="false">N92*T92</f>
        <v>0.495</v>
      </c>
      <c r="X92" s="2" t="n">
        <f aca="false">H92*N92*T92</f>
        <v>0.42075</v>
      </c>
      <c r="BC92" s="2"/>
      <c r="BD92" s="2"/>
      <c r="BE92" s="2"/>
      <c r="BF92" s="2"/>
      <c r="BL92" s="2"/>
      <c r="BM92" s="2"/>
      <c r="BN92" s="2"/>
      <c r="BO92" s="2"/>
      <c r="BP92" s="2"/>
    </row>
    <row r="93" customFormat="false" ht="13.8" hidden="false" customHeight="false" outlineLevel="0" collapsed="false">
      <c r="A93" s="1" t="n">
        <v>45505</v>
      </c>
      <c r="B93" s="2" t="n">
        <v>25111.3409090909</v>
      </c>
      <c r="C93" s="2" t="n">
        <v>1</v>
      </c>
      <c r="D93" s="2" t="n">
        <v>1</v>
      </c>
      <c r="E93" s="2" t="n">
        <v>0</v>
      </c>
      <c r="F93" s="2" t="n">
        <v>1</v>
      </c>
      <c r="G93" s="2" t="n">
        <v>1</v>
      </c>
      <c r="H93" s="7" t="n">
        <f aca="false">0.3*C93 +0.25*F93+0.2*D93+0.15*E93+0.1*G93</f>
        <v>0.85</v>
      </c>
      <c r="I93" s="2" t="n">
        <v>1</v>
      </c>
      <c r="J93" s="2" t="n">
        <v>1</v>
      </c>
      <c r="K93" s="2" t="n">
        <v>1</v>
      </c>
      <c r="L93" s="2" t="n">
        <v>1</v>
      </c>
      <c r="M93" s="2" t="n">
        <v>0</v>
      </c>
      <c r="N93" s="2" t="n">
        <f aca="false">0.3*K93+0.25*L93+0.2*I93+0.15*J93+0.1*M93</f>
        <v>0.9</v>
      </c>
      <c r="O93" s="2" t="n">
        <v>0</v>
      </c>
      <c r="P93" s="2" t="n">
        <v>1</v>
      </c>
      <c r="Q93" s="2" t="n">
        <v>1</v>
      </c>
      <c r="R93" s="2" t="n">
        <v>0</v>
      </c>
      <c r="S93" s="2" t="n">
        <v>1</v>
      </c>
      <c r="T93" s="2" t="n">
        <f aca="false">0.35*O93+0.25*Q93+0.15*P93+0.15*S93+0.1*R93</f>
        <v>0.55</v>
      </c>
      <c r="U93" s="2" t="n">
        <f aca="false">H93*N93</f>
        <v>0.765</v>
      </c>
      <c r="V93" s="2" t="n">
        <f aca="false">H93*T93</f>
        <v>0.4675</v>
      </c>
      <c r="W93" s="2" t="n">
        <f aca="false">N93*T93</f>
        <v>0.495</v>
      </c>
      <c r="X93" s="2" t="n">
        <f aca="false">H93*N93*T93</f>
        <v>0.42075</v>
      </c>
      <c r="BC93" s="2"/>
      <c r="BD93" s="2"/>
      <c r="BE93" s="2"/>
      <c r="BF93" s="2"/>
      <c r="BL93" s="2"/>
      <c r="BM93" s="2"/>
      <c r="BN93" s="2"/>
      <c r="BO93" s="2"/>
      <c r="BP93" s="2"/>
    </row>
    <row r="94" customFormat="false" ht="13.8" hidden="false" customHeight="false" outlineLevel="0" collapsed="false">
      <c r="A94" s="1" t="n">
        <v>45536</v>
      </c>
      <c r="B94" s="2" t="n">
        <v>24080.3571428571</v>
      </c>
      <c r="C94" s="2" t="n">
        <v>1</v>
      </c>
      <c r="D94" s="2" t="n">
        <v>1</v>
      </c>
      <c r="E94" s="2" t="n">
        <v>0</v>
      </c>
      <c r="F94" s="2" t="n">
        <v>1</v>
      </c>
      <c r="G94" s="2" t="n">
        <v>1</v>
      </c>
      <c r="H94" s="7" t="n">
        <f aca="false">0.3*C94 +0.25*F94+0.2*D94+0.15*E94+0.1*G94</f>
        <v>0.85</v>
      </c>
      <c r="I94" s="2" t="n">
        <v>1</v>
      </c>
      <c r="J94" s="2" t="n">
        <v>1</v>
      </c>
      <c r="K94" s="2" t="n">
        <v>1</v>
      </c>
      <c r="L94" s="2" t="n">
        <v>1</v>
      </c>
      <c r="M94" s="2" t="n">
        <v>0</v>
      </c>
      <c r="N94" s="2" t="n">
        <f aca="false">0.3*K94+0.25*L94+0.2*I94+0.15*J94+0.1*M94</f>
        <v>0.9</v>
      </c>
      <c r="O94" s="2" t="n">
        <v>0</v>
      </c>
      <c r="P94" s="2" t="n">
        <v>1</v>
      </c>
      <c r="Q94" s="2" t="n">
        <v>1</v>
      </c>
      <c r="R94" s="2" t="n">
        <v>0</v>
      </c>
      <c r="S94" s="2" t="n">
        <v>1</v>
      </c>
      <c r="T94" s="2" t="n">
        <f aca="false">0.35*O94+0.25*Q94+0.15*P94+0.15*S94+0.1*R94</f>
        <v>0.55</v>
      </c>
      <c r="U94" s="2" t="n">
        <f aca="false">H94*N94</f>
        <v>0.765</v>
      </c>
      <c r="V94" s="2" t="n">
        <f aca="false">H94*T94</f>
        <v>0.4675</v>
      </c>
      <c r="W94" s="2" t="n">
        <f aca="false">N94*T94</f>
        <v>0.495</v>
      </c>
      <c r="X94" s="2" t="n">
        <f aca="false">H94*N94*T94</f>
        <v>0.42075</v>
      </c>
      <c r="BC94" s="2"/>
      <c r="BD94" s="2"/>
      <c r="BE94" s="2"/>
      <c r="BF94" s="2"/>
      <c r="BL94" s="2"/>
      <c r="BM94" s="2"/>
      <c r="BN94" s="2"/>
      <c r="BO94" s="2"/>
      <c r="BP94" s="2"/>
    </row>
    <row r="95" customFormat="false" ht="13.8" hidden="false" customHeight="false" outlineLevel="0" collapsed="false">
      <c r="A95" s="1" t="n">
        <v>45566</v>
      </c>
      <c r="B95" s="2" t="n">
        <v>24229.2173913043</v>
      </c>
      <c r="C95" s="2" t="n">
        <v>1</v>
      </c>
      <c r="D95" s="2" t="n">
        <v>1</v>
      </c>
      <c r="E95" s="2" t="n">
        <v>0</v>
      </c>
      <c r="F95" s="2" t="n">
        <v>1</v>
      </c>
      <c r="G95" s="2" t="n">
        <v>1</v>
      </c>
      <c r="H95" s="7" t="n">
        <f aca="false">0.3*C95 +0.25*F95+0.2*D95+0.15*E95+0.1*G95</f>
        <v>0.85</v>
      </c>
      <c r="I95" s="2" t="n">
        <v>1</v>
      </c>
      <c r="J95" s="2" t="n">
        <v>1</v>
      </c>
      <c r="K95" s="2" t="n">
        <v>1</v>
      </c>
      <c r="L95" s="2" t="n">
        <v>1</v>
      </c>
      <c r="M95" s="2" t="n">
        <v>0</v>
      </c>
      <c r="N95" s="2" t="n">
        <f aca="false">0.3*K95+0.25*L95+0.2*I95+0.15*J95+0.1*M95</f>
        <v>0.9</v>
      </c>
      <c r="O95" s="2" t="n">
        <v>0</v>
      </c>
      <c r="P95" s="2" t="n">
        <v>1</v>
      </c>
      <c r="Q95" s="2" t="n">
        <v>1</v>
      </c>
      <c r="R95" s="2" t="n">
        <v>0</v>
      </c>
      <c r="S95" s="2" t="n">
        <v>1</v>
      </c>
      <c r="T95" s="2" t="n">
        <f aca="false">0.35*O95+0.25*Q95+0.15*P95+0.15*S95+0.1*R95</f>
        <v>0.55</v>
      </c>
      <c r="U95" s="2" t="n">
        <f aca="false">H95*N95</f>
        <v>0.765</v>
      </c>
      <c r="V95" s="2" t="n">
        <f aca="false">H95*T95</f>
        <v>0.4675</v>
      </c>
      <c r="W95" s="2" t="n">
        <f aca="false">N95*T95</f>
        <v>0.495</v>
      </c>
      <c r="X95" s="2" t="n">
        <f aca="false">H95*N95*T95</f>
        <v>0.42075</v>
      </c>
      <c r="BC95" s="2"/>
      <c r="BD95" s="2"/>
      <c r="BE95" s="2"/>
      <c r="BF95" s="2"/>
      <c r="BL95" s="2"/>
      <c r="BM95" s="2"/>
      <c r="BN95" s="2"/>
      <c r="BO95" s="2"/>
      <c r="BP95" s="2"/>
    </row>
    <row r="96" customFormat="false" ht="13.8" hidden="false" customHeight="false" outlineLevel="0" collapsed="false">
      <c r="A96" s="1" t="n">
        <v>45597</v>
      </c>
      <c r="B96" s="2" t="n">
        <v>24292.2619047619</v>
      </c>
      <c r="C96" s="2" t="n">
        <v>1</v>
      </c>
      <c r="D96" s="2" t="n">
        <v>1</v>
      </c>
      <c r="E96" s="2" t="n">
        <v>0</v>
      </c>
      <c r="F96" s="2" t="n">
        <v>1</v>
      </c>
      <c r="G96" s="2" t="n">
        <v>1</v>
      </c>
      <c r="H96" s="7" t="n">
        <f aca="false">0.3*C96 +0.25*F96+0.2*D96+0.15*E96+0.1*G96</f>
        <v>0.85</v>
      </c>
      <c r="I96" s="2" t="n">
        <v>1</v>
      </c>
      <c r="J96" s="2" t="n">
        <v>1</v>
      </c>
      <c r="K96" s="2" t="n">
        <v>1</v>
      </c>
      <c r="L96" s="2" t="n">
        <v>1</v>
      </c>
      <c r="M96" s="2" t="n">
        <v>0</v>
      </c>
      <c r="N96" s="2" t="n">
        <f aca="false">0.3*K96+0.25*L96+0.2*I96+0.15*J96+0.1*M96</f>
        <v>0.9</v>
      </c>
      <c r="O96" s="2" t="n">
        <v>0</v>
      </c>
      <c r="P96" s="2" t="n">
        <v>1</v>
      </c>
      <c r="Q96" s="2" t="n">
        <v>1</v>
      </c>
      <c r="R96" s="2" t="n">
        <v>0</v>
      </c>
      <c r="S96" s="2" t="n">
        <v>1</v>
      </c>
      <c r="T96" s="2" t="n">
        <f aca="false">0.35*O96+0.25*Q96+0.15*P96+0.15*S96+0.1*R96</f>
        <v>0.55</v>
      </c>
      <c r="U96" s="2" t="n">
        <f aca="false">H96*N96</f>
        <v>0.765</v>
      </c>
      <c r="V96" s="2" t="n">
        <f aca="false">H96*T96</f>
        <v>0.4675</v>
      </c>
      <c r="W96" s="2" t="n">
        <f aca="false">N96*T96</f>
        <v>0.495</v>
      </c>
      <c r="X96" s="2" t="n">
        <f aca="false">H96*N96*T96</f>
        <v>0.42075</v>
      </c>
      <c r="BC96" s="2"/>
      <c r="BD96" s="2"/>
      <c r="BE96" s="2"/>
      <c r="BF96" s="2"/>
      <c r="BL96" s="2"/>
      <c r="BM96" s="2"/>
      <c r="BN96" s="2"/>
      <c r="BO96" s="2"/>
      <c r="BP96" s="2"/>
    </row>
    <row r="97" customFormat="false" ht="13.8" hidden="false" customHeight="false" outlineLevel="0" collapsed="false">
      <c r="A97" s="1" t="n">
        <v>45627</v>
      </c>
      <c r="B97" s="2" t="n">
        <v>24300</v>
      </c>
      <c r="C97" s="2" t="n">
        <v>1</v>
      </c>
      <c r="D97" s="2" t="n">
        <v>1</v>
      </c>
      <c r="E97" s="2" t="n">
        <v>0</v>
      </c>
      <c r="F97" s="2" t="n">
        <v>1</v>
      </c>
      <c r="G97" s="2" t="n">
        <v>1</v>
      </c>
      <c r="H97" s="7" t="n">
        <f aca="false">0.3*C97 +0.25*F97+0.2*D97+0.15*E97+0.1*G97</f>
        <v>0.85</v>
      </c>
      <c r="I97" s="2" t="n">
        <v>1</v>
      </c>
      <c r="J97" s="2" t="n">
        <v>1</v>
      </c>
      <c r="K97" s="2" t="n">
        <v>1</v>
      </c>
      <c r="L97" s="2" t="n">
        <v>1</v>
      </c>
      <c r="M97" s="2" t="n">
        <v>0</v>
      </c>
      <c r="N97" s="2" t="n">
        <f aca="false">0.3*K97+0.25*L97+0.2*I97+0.15*J97+0.1*M97</f>
        <v>0.9</v>
      </c>
      <c r="O97" s="2" t="n">
        <v>0</v>
      </c>
      <c r="P97" s="2" t="n">
        <v>1</v>
      </c>
      <c r="Q97" s="2" t="n">
        <v>1</v>
      </c>
      <c r="R97" s="2" t="n">
        <v>0</v>
      </c>
      <c r="S97" s="2" t="n">
        <v>1</v>
      </c>
      <c r="T97" s="2" t="n">
        <f aca="false">0.35*O97+0.25*Q97+0.15*P97+0.15*S97+0.1*R97</f>
        <v>0.55</v>
      </c>
      <c r="U97" s="2" t="n">
        <f aca="false">H97*N97</f>
        <v>0.765</v>
      </c>
      <c r="V97" s="2" t="n">
        <f aca="false">H97*T97</f>
        <v>0.4675</v>
      </c>
      <c r="W97" s="2" t="n">
        <f aca="false">N97*T97</f>
        <v>0.495</v>
      </c>
      <c r="X97" s="2" t="n">
        <f aca="false">H97*N97*T97</f>
        <v>0.42075</v>
      </c>
      <c r="BC97" s="2"/>
      <c r="BD97" s="2"/>
      <c r="BE97" s="2"/>
      <c r="BF97" s="2"/>
      <c r="BL97" s="2"/>
      <c r="BM97" s="2"/>
      <c r="BN97" s="2"/>
      <c r="BO97" s="2"/>
      <c r="BP97" s="2"/>
    </row>
    <row r="98" customFormat="false" ht="13.8" hidden="false" customHeight="false" outlineLevel="0" collapsed="false">
      <c r="A98" s="1" t="n">
        <v>45658</v>
      </c>
      <c r="B98" s="2" t="n">
        <v>23779.9565217391</v>
      </c>
      <c r="C98" s="2" t="n">
        <v>1</v>
      </c>
      <c r="D98" s="2" t="n">
        <v>1</v>
      </c>
      <c r="E98" s="2" t="n">
        <v>0</v>
      </c>
      <c r="F98" s="2" t="n">
        <v>1</v>
      </c>
      <c r="G98" s="2" t="n">
        <v>1</v>
      </c>
      <c r="H98" s="7" t="n">
        <f aca="false">0.3*C98 +0.25*F98+0.2*D98+0.15*E98+0.1*G98</f>
        <v>0.85</v>
      </c>
      <c r="I98" s="2" t="n">
        <v>1</v>
      </c>
      <c r="J98" s="2" t="n">
        <v>1</v>
      </c>
      <c r="K98" s="2" t="n">
        <v>1</v>
      </c>
      <c r="L98" s="2" t="n">
        <v>1</v>
      </c>
      <c r="M98" s="2" t="n">
        <v>1</v>
      </c>
      <c r="N98" s="2" t="n">
        <f aca="false">0.3*K98+0.25*L98+0.2*I98+0.15*J98+0.1*M98</f>
        <v>1</v>
      </c>
      <c r="O98" s="2" t="n">
        <v>0</v>
      </c>
      <c r="P98" s="2" t="n">
        <v>1</v>
      </c>
      <c r="Q98" s="2" t="n">
        <v>1</v>
      </c>
      <c r="R98" s="2" t="n">
        <v>0</v>
      </c>
      <c r="S98" s="2" t="n">
        <v>1</v>
      </c>
      <c r="T98" s="2" t="n">
        <f aca="false">0.35*O98+0.25*Q98+0.15*P98+0.15*S98+0.1*R98</f>
        <v>0.55</v>
      </c>
      <c r="U98" s="2" t="n">
        <f aca="false">H98*N98</f>
        <v>0.85</v>
      </c>
      <c r="V98" s="2" t="n">
        <f aca="false">H98*T98</f>
        <v>0.4675</v>
      </c>
      <c r="W98" s="2" t="n">
        <f aca="false">N98*T98</f>
        <v>0.55</v>
      </c>
      <c r="X98" s="2" t="n">
        <f aca="false">H98*N98*T98</f>
        <v>0.4675</v>
      </c>
      <c r="BC98" s="2"/>
      <c r="BD98" s="2"/>
      <c r="BE98" s="2"/>
      <c r="BF98" s="2"/>
      <c r="BL98" s="2"/>
      <c r="BM98" s="2"/>
      <c r="BN98" s="2"/>
      <c r="BO98" s="2"/>
      <c r="BP98" s="2"/>
    </row>
    <row r="99" customFormat="false" ht="13.8" hidden="false" customHeight="false" outlineLevel="0" collapsed="false">
      <c r="A99" s="1" t="n">
        <v>45689</v>
      </c>
      <c r="B99" s="2" t="n">
        <v>21721.075</v>
      </c>
      <c r="C99" s="2" t="n">
        <v>1</v>
      </c>
      <c r="D99" s="2" t="n">
        <v>1</v>
      </c>
      <c r="E99" s="2" t="n">
        <v>0</v>
      </c>
      <c r="F99" s="2" t="n">
        <v>1</v>
      </c>
      <c r="G99" s="2" t="n">
        <v>1</v>
      </c>
      <c r="H99" s="7" t="n">
        <f aca="false">0.3*C99 +0.25*F99+0.2*D99+0.15*E99+0.1*G99</f>
        <v>0.85</v>
      </c>
      <c r="I99" s="2" t="n">
        <v>1</v>
      </c>
      <c r="J99" s="2" t="n">
        <v>1</v>
      </c>
      <c r="K99" s="2" t="n">
        <v>1</v>
      </c>
      <c r="L99" s="2" t="n">
        <v>1</v>
      </c>
      <c r="M99" s="2" t="n">
        <v>1</v>
      </c>
      <c r="N99" s="2" t="n">
        <f aca="false">0.3*K99+0.25*L99+0.2*I99+0.15*J99+0.1*M99</f>
        <v>1</v>
      </c>
      <c r="O99" s="2" t="n">
        <v>0</v>
      </c>
      <c r="P99" s="2" t="n">
        <v>1</v>
      </c>
      <c r="Q99" s="2" t="n">
        <v>1</v>
      </c>
      <c r="R99" s="2" t="n">
        <v>0</v>
      </c>
      <c r="S99" s="2" t="n">
        <v>1</v>
      </c>
      <c r="T99" s="2" t="n">
        <f aca="false">0.35*O99+0.25*Q99+0.15*P99+0.15*S99+0.1*R99</f>
        <v>0.55</v>
      </c>
      <c r="U99" s="2" t="n">
        <f aca="false">H99*N99</f>
        <v>0.85</v>
      </c>
      <c r="V99" s="2" t="n">
        <f aca="false">H99*T99</f>
        <v>0.4675</v>
      </c>
      <c r="W99" s="2" t="n">
        <f aca="false">N99*T99</f>
        <v>0.55</v>
      </c>
      <c r="X99" s="2" t="n">
        <f aca="false">H99*N99*T99</f>
        <v>0.4675</v>
      </c>
      <c r="BC99" s="2"/>
      <c r="BD99" s="2"/>
      <c r="BE99" s="2"/>
      <c r="BF99" s="2"/>
      <c r="BL99" s="2"/>
      <c r="BM99" s="2"/>
      <c r="BN99" s="2"/>
      <c r="BO99" s="2"/>
      <c r="BP99" s="2"/>
    </row>
    <row r="100" customFormat="false" ht="13.8" hidden="false" customHeight="false" outlineLevel="0" collapsed="false">
      <c r="A100" s="1" t="n">
        <v>45717</v>
      </c>
      <c r="B100" s="2" t="n">
        <v>31534.7142857142</v>
      </c>
      <c r="C100" s="2" t="n">
        <v>1</v>
      </c>
      <c r="D100" s="2" t="n">
        <v>1</v>
      </c>
      <c r="E100" s="2" t="n">
        <v>0</v>
      </c>
      <c r="F100" s="2" t="n">
        <v>1</v>
      </c>
      <c r="G100" s="2" t="n">
        <v>1</v>
      </c>
      <c r="H100" s="7" t="n">
        <f aca="false">0.3*C100 +0.25*F100+0.2*D100+0.15*E100+0.1*G100</f>
        <v>0.85</v>
      </c>
      <c r="I100" s="2" t="n">
        <v>1</v>
      </c>
      <c r="J100" s="2" t="n">
        <v>1</v>
      </c>
      <c r="K100" s="2" t="n">
        <v>1</v>
      </c>
      <c r="L100" s="2" t="n">
        <v>1</v>
      </c>
      <c r="M100" s="2" t="n">
        <v>1</v>
      </c>
      <c r="N100" s="2" t="n">
        <f aca="false">0.3*K100+0.25*L100+0.2*I100+0.15*J100+0.1*M100</f>
        <v>1</v>
      </c>
      <c r="O100" s="2" t="n">
        <v>0</v>
      </c>
      <c r="P100" s="2" t="n">
        <v>1</v>
      </c>
      <c r="Q100" s="2" t="n">
        <v>1</v>
      </c>
      <c r="R100" s="2" t="n">
        <v>0</v>
      </c>
      <c r="S100" s="2" t="n">
        <v>1</v>
      </c>
      <c r="T100" s="2" t="n">
        <f aca="false">0.35*O100+0.25*Q100+0.15*P100+0.15*S100+0.1*R100</f>
        <v>0.55</v>
      </c>
      <c r="U100" s="2" t="n">
        <f aca="false">H100*N100</f>
        <v>0.85</v>
      </c>
      <c r="V100" s="2" t="n">
        <f aca="false">H100*T100</f>
        <v>0.4675</v>
      </c>
      <c r="W100" s="2" t="n">
        <f aca="false">N100*T100</f>
        <v>0.55</v>
      </c>
      <c r="X100" s="2" t="n">
        <f aca="false">H100*N100*T100</f>
        <v>0.4675</v>
      </c>
      <c r="BC100" s="2"/>
      <c r="BD100" s="2"/>
      <c r="BE100" s="2"/>
      <c r="BF100" s="2"/>
      <c r="BL100" s="2"/>
      <c r="BM100" s="2"/>
      <c r="BN100" s="2"/>
      <c r="BO100" s="2"/>
      <c r="BP100" s="2"/>
    </row>
    <row r="101" customFormat="false" ht="13.8" hidden="false" customHeight="false" outlineLevel="0" collapsed="false">
      <c r="A101" s="1" t="n">
        <v>45748</v>
      </c>
      <c r="B101" s="2" t="n">
        <v>33313.6363636363</v>
      </c>
      <c r="C101" s="2" t="n">
        <v>1</v>
      </c>
      <c r="D101" s="2" t="n">
        <v>1</v>
      </c>
      <c r="E101" s="2" t="n">
        <v>0</v>
      </c>
      <c r="F101" s="2" t="n">
        <v>1</v>
      </c>
      <c r="G101" s="2" t="n">
        <v>1</v>
      </c>
      <c r="H101" s="7" t="n">
        <f aca="false">0.3*C101 +0.25*F101+0.2*D101+0.15*E101+0.1*G101</f>
        <v>0.85</v>
      </c>
      <c r="I101" s="2" t="n">
        <v>1</v>
      </c>
      <c r="J101" s="2" t="n">
        <v>1</v>
      </c>
      <c r="K101" s="2" t="n">
        <v>1</v>
      </c>
      <c r="L101" s="2" t="n">
        <v>1</v>
      </c>
      <c r="M101" s="2" t="n">
        <v>1</v>
      </c>
      <c r="N101" s="2" t="n">
        <f aca="false">0.3*K101+0.25*L101+0.2*I101+0.15*J101+0.1*M101</f>
        <v>1</v>
      </c>
      <c r="O101" s="2" t="n">
        <v>0</v>
      </c>
      <c r="P101" s="2" t="n">
        <v>1</v>
      </c>
      <c r="Q101" s="2" t="n">
        <v>1</v>
      </c>
      <c r="R101" s="2" t="n">
        <v>0</v>
      </c>
      <c r="S101" s="2" t="n">
        <v>1</v>
      </c>
      <c r="T101" s="2" t="n">
        <f aca="false">0.35*O101+0.25*Q101+0.15*P101+0.15*S101+0.1*R101</f>
        <v>0.55</v>
      </c>
      <c r="U101" s="2" t="n">
        <f aca="false">H101*N101</f>
        <v>0.85</v>
      </c>
      <c r="V101" s="2" t="n">
        <f aca="false">H101*T101</f>
        <v>0.4675</v>
      </c>
      <c r="W101" s="2" t="n">
        <f aca="false">N101*T101</f>
        <v>0.55</v>
      </c>
      <c r="X101" s="2" t="n">
        <f aca="false">H101*N101*T101</f>
        <v>0.4675</v>
      </c>
      <c r="BC101" s="2"/>
      <c r="BD101" s="2"/>
      <c r="BE101" s="2"/>
      <c r="BF101" s="2"/>
      <c r="BL101" s="2"/>
      <c r="BM101" s="2"/>
      <c r="BN101" s="2"/>
      <c r="BO101" s="2"/>
      <c r="BP101" s="2"/>
    </row>
    <row r="102" customFormat="false" ht="13.8" hidden="false" customHeight="false" outlineLevel="0" collapsed="false">
      <c r="A102" s="1" t="n">
        <v>45778</v>
      </c>
      <c r="B102" s="2" t="n">
        <v>33260.3409090909</v>
      </c>
      <c r="C102" s="2" t="n">
        <v>1</v>
      </c>
      <c r="D102" s="2" t="n">
        <v>1</v>
      </c>
      <c r="E102" s="2" t="n">
        <v>0</v>
      </c>
      <c r="F102" s="2" t="n">
        <v>1</v>
      </c>
      <c r="G102" s="2" t="n">
        <v>1</v>
      </c>
      <c r="H102" s="7" t="n">
        <f aca="false">0.3*C102 +0.25*F102+0.2*D102+0.15*E102+0.1*G102</f>
        <v>0.85</v>
      </c>
      <c r="I102" s="2" t="n">
        <v>1</v>
      </c>
      <c r="J102" s="2" t="n">
        <v>1</v>
      </c>
      <c r="K102" s="2" t="n">
        <v>1</v>
      </c>
      <c r="L102" s="2" t="n">
        <v>1</v>
      </c>
      <c r="M102" s="2" t="n">
        <v>1</v>
      </c>
      <c r="N102" s="2" t="n">
        <f aca="false">0.3*K102+0.25*L102+0.2*I102+0.15*J102+0.1*M102</f>
        <v>1</v>
      </c>
      <c r="O102" s="2" t="n">
        <v>0</v>
      </c>
      <c r="P102" s="2" t="n">
        <v>1</v>
      </c>
      <c r="Q102" s="2" t="n">
        <v>1</v>
      </c>
      <c r="R102" s="2" t="n">
        <v>0</v>
      </c>
      <c r="S102" s="2" t="n">
        <v>1</v>
      </c>
      <c r="T102" s="2" t="n">
        <f aca="false">0.35*O102+0.25*Q102+0.15*P102+0.15*S102+0.1*R102</f>
        <v>0.55</v>
      </c>
      <c r="U102" s="2" t="n">
        <f aca="false">H102*N102</f>
        <v>0.85</v>
      </c>
      <c r="V102" s="2" t="n">
        <f aca="false">H102*T102</f>
        <v>0.4675</v>
      </c>
      <c r="W102" s="2" t="n">
        <f aca="false">N102*T102</f>
        <v>0.55</v>
      </c>
      <c r="X102" s="2" t="n">
        <f aca="false">H102*N102*T102</f>
        <v>0.4675</v>
      </c>
      <c r="BC102" s="2"/>
      <c r="BD102" s="2"/>
      <c r="BE102" s="2"/>
      <c r="BF102" s="2"/>
      <c r="BL102" s="2"/>
      <c r="BM102" s="2"/>
      <c r="BN102" s="2"/>
      <c r="BO102" s="2"/>
      <c r="BP102" s="2"/>
    </row>
    <row r="103" customFormat="false" ht="13.8" hidden="false" customHeight="false" outlineLevel="0" collapsed="false">
      <c r="A103" s="1" t="n">
        <v>45809</v>
      </c>
      <c r="B103" s="2" t="n">
        <v>32964.7857142857</v>
      </c>
      <c r="C103" s="2" t="n">
        <v>1</v>
      </c>
      <c r="D103" s="2" t="n">
        <v>1</v>
      </c>
      <c r="E103" s="2" t="n">
        <v>0</v>
      </c>
      <c r="F103" s="2" t="n">
        <v>1</v>
      </c>
      <c r="G103" s="2" t="n">
        <v>1</v>
      </c>
      <c r="H103" s="7" t="n">
        <f aca="false">0.3*C103 +0.25*F103+0.2*D103+0.15*E103+0.1*G103</f>
        <v>0.85</v>
      </c>
      <c r="I103" s="2" t="n">
        <v>1</v>
      </c>
      <c r="J103" s="2" t="n">
        <v>1</v>
      </c>
      <c r="K103" s="2" t="n">
        <v>1</v>
      </c>
      <c r="L103" s="2" t="n">
        <v>1</v>
      </c>
      <c r="M103" s="2" t="n">
        <v>1</v>
      </c>
      <c r="N103" s="2" t="n">
        <f aca="false">0.3*K103+0.25*L103+0.2*I103+0.15*J103+0.1*M103</f>
        <v>1</v>
      </c>
      <c r="O103" s="2" t="n">
        <v>0</v>
      </c>
      <c r="P103" s="2" t="n">
        <v>1</v>
      </c>
      <c r="Q103" s="2" t="n">
        <v>1</v>
      </c>
      <c r="R103" s="2" t="n">
        <v>0</v>
      </c>
      <c r="S103" s="2" t="n">
        <v>1</v>
      </c>
      <c r="T103" s="2" t="n">
        <f aca="false">0.35*O103+0.25*Q103+0.15*P103+0.15*S103+0.1*R103</f>
        <v>0.55</v>
      </c>
      <c r="U103" s="2" t="n">
        <f aca="false">H103*N103</f>
        <v>0.85</v>
      </c>
      <c r="V103" s="2" t="n">
        <f aca="false">H103*T103</f>
        <v>0.4675</v>
      </c>
      <c r="W103" s="2" t="n">
        <f aca="false">N103*T103</f>
        <v>0.55</v>
      </c>
      <c r="X103" s="2" t="n">
        <f aca="false">H103*N103*T103</f>
        <v>0.4675</v>
      </c>
      <c r="BC103" s="2"/>
      <c r="BD103" s="2"/>
      <c r="BE103" s="2"/>
      <c r="BF103" s="2"/>
      <c r="BL103" s="2"/>
      <c r="BM103" s="2"/>
      <c r="BN103" s="2"/>
      <c r="BO103" s="2"/>
      <c r="BP103" s="2"/>
    </row>
    <row r="104" customFormat="false" ht="13.8" hidden="false" customHeight="false" outlineLevel="0" collapsed="false">
      <c r="A104" s="1" t="n">
        <v>45839</v>
      </c>
      <c r="B104" s="2" t="n">
        <v>32895.1413043478</v>
      </c>
      <c r="C104" s="2" t="n">
        <v>1</v>
      </c>
      <c r="D104" s="2" t="n">
        <v>1</v>
      </c>
      <c r="E104" s="2" t="n">
        <v>0</v>
      </c>
      <c r="F104" s="2" t="n">
        <v>1</v>
      </c>
      <c r="G104" s="2" t="n">
        <v>1</v>
      </c>
      <c r="H104" s="7" t="n">
        <f aca="false">0.3*C104 +0.25*F104+0.2*D104+0.15*E104+0.1*G104</f>
        <v>0.85</v>
      </c>
      <c r="I104" s="2" t="n">
        <v>1</v>
      </c>
      <c r="J104" s="2" t="n">
        <v>1</v>
      </c>
      <c r="K104" s="2" t="n">
        <v>1</v>
      </c>
      <c r="L104" s="2" t="n">
        <v>1</v>
      </c>
      <c r="M104" s="2" t="n">
        <v>1</v>
      </c>
      <c r="N104" s="2" t="n">
        <f aca="false">0.3*K104+0.25*L104+0.2*I104+0.15*J104+0.1*M104</f>
        <v>1</v>
      </c>
      <c r="O104" s="2" t="n">
        <v>0</v>
      </c>
      <c r="P104" s="2" t="n">
        <v>1</v>
      </c>
      <c r="Q104" s="2" t="n">
        <v>1</v>
      </c>
      <c r="R104" s="2" t="n">
        <v>0</v>
      </c>
      <c r="S104" s="2" t="n">
        <v>1</v>
      </c>
      <c r="T104" s="2" t="n">
        <f aca="false">0.35*O104+0.25*Q104+0.15*P104+0.15*S104+0.1*R104</f>
        <v>0.55</v>
      </c>
      <c r="U104" s="2" t="n">
        <f aca="false">H104*N104</f>
        <v>0.85</v>
      </c>
      <c r="V104" s="2" t="n">
        <f aca="false">H104*T104</f>
        <v>0.4675</v>
      </c>
      <c r="W104" s="2" t="n">
        <f aca="false">N104*T104</f>
        <v>0.55</v>
      </c>
      <c r="X104" s="2" t="n">
        <f aca="false">H104*N104*T104</f>
        <v>0.4675</v>
      </c>
      <c r="BC104" s="2"/>
      <c r="BD104" s="2"/>
      <c r="BE104" s="2"/>
      <c r="BF104" s="2"/>
      <c r="BL104" s="2"/>
      <c r="BM104" s="2"/>
      <c r="BN104" s="2"/>
      <c r="BO104" s="2"/>
      <c r="BP104" s="2"/>
    </row>
    <row r="105" customFormat="false" ht="13.8" hidden="false" customHeight="false" outlineLevel="0" collapsed="false">
      <c r="A105" s="1" t="n">
        <v>45870</v>
      </c>
      <c r="B105" s="2" t="n">
        <v>32895.9761904761</v>
      </c>
      <c r="C105" s="2" t="n">
        <v>1</v>
      </c>
      <c r="D105" s="2" t="n">
        <v>1</v>
      </c>
      <c r="E105" s="2" t="n">
        <v>0</v>
      </c>
      <c r="F105" s="2" t="n">
        <v>1</v>
      </c>
      <c r="G105" s="2" t="n">
        <v>1</v>
      </c>
      <c r="H105" s="7" t="n">
        <f aca="false">0.3*C105 +0.25*F105+0.2*D105+0.15*E105+0.1*G105</f>
        <v>0.85</v>
      </c>
      <c r="I105" s="2" t="n">
        <v>1</v>
      </c>
      <c r="J105" s="2" t="n">
        <v>1</v>
      </c>
      <c r="K105" s="2" t="n">
        <v>1</v>
      </c>
      <c r="L105" s="2" t="n">
        <v>1</v>
      </c>
      <c r="M105" s="2" t="n">
        <v>1</v>
      </c>
      <c r="N105" s="2" t="n">
        <f aca="false">0.3*K105+0.25*L105+0.2*I105+0.15*J105+0.1*M105</f>
        <v>1</v>
      </c>
      <c r="O105" s="2" t="n">
        <v>0</v>
      </c>
      <c r="P105" s="2" t="n">
        <v>1</v>
      </c>
      <c r="Q105" s="2" t="n">
        <v>1</v>
      </c>
      <c r="R105" s="2" t="n">
        <v>0</v>
      </c>
      <c r="S105" s="2" t="n">
        <v>1</v>
      </c>
      <c r="T105" s="2" t="n">
        <f aca="false">0.35*O105+0.25*Q105+0.15*P105+0.15*S105+0.1*R105</f>
        <v>0.55</v>
      </c>
      <c r="U105" s="2" t="n">
        <f aca="false">H105*N105</f>
        <v>0.85</v>
      </c>
      <c r="V105" s="2" t="n">
        <f aca="false">H105*T105</f>
        <v>0.4675</v>
      </c>
      <c r="W105" s="2" t="n">
        <f aca="false">N105*T105</f>
        <v>0.55</v>
      </c>
      <c r="X105" s="2" t="n">
        <f aca="false">H105*N105*T105</f>
        <v>0.4675</v>
      </c>
      <c r="BC105" s="2"/>
      <c r="BD105" s="2"/>
      <c r="BE105" s="2"/>
      <c r="BF105" s="2"/>
      <c r="BL105" s="2"/>
      <c r="BM105" s="2"/>
      <c r="BN105" s="2"/>
      <c r="BO105" s="2"/>
      <c r="BP105" s="2"/>
    </row>
    <row r="106" customFormat="false" ht="13.8" hidden="false" customHeight="false" outlineLevel="0" collapsed="false">
      <c r="A106" s="1" t="n">
        <v>45901</v>
      </c>
      <c r="B106" s="2" t="n">
        <v>33482.0681818181</v>
      </c>
      <c r="C106" s="2" t="n">
        <v>1</v>
      </c>
      <c r="D106" s="2" t="n">
        <v>1</v>
      </c>
      <c r="E106" s="2" t="n">
        <v>0</v>
      </c>
      <c r="F106" s="2" t="n">
        <v>1</v>
      </c>
      <c r="G106" s="2" t="n">
        <v>1</v>
      </c>
      <c r="H106" s="7" t="n">
        <f aca="false">0.3*C106 +0.25*F106+0.2*D106+0.15*E106+0.1*G106</f>
        <v>0.85</v>
      </c>
      <c r="I106" s="2" t="n">
        <v>1</v>
      </c>
      <c r="J106" s="2" t="n">
        <v>1</v>
      </c>
      <c r="K106" s="2" t="n">
        <v>1</v>
      </c>
      <c r="L106" s="2" t="n">
        <v>1</v>
      </c>
      <c r="M106" s="2" t="n">
        <v>1</v>
      </c>
      <c r="N106" s="2" t="n">
        <f aca="false">0.3*K106+0.25*L106+0.2*I106+0.15*J106+0.1*M106</f>
        <v>1</v>
      </c>
      <c r="O106" s="2" t="n">
        <v>0</v>
      </c>
      <c r="P106" s="2" t="n">
        <v>1</v>
      </c>
      <c r="Q106" s="2" t="n">
        <v>1</v>
      </c>
      <c r="R106" s="2" t="n">
        <v>0</v>
      </c>
      <c r="S106" s="2" t="n">
        <v>1</v>
      </c>
      <c r="T106" s="2" t="n">
        <f aca="false">0.35*O106+0.25*Q106+0.15*P106+0.15*S106+0.1*R106</f>
        <v>0.55</v>
      </c>
      <c r="U106" s="2" t="n">
        <f aca="false">H106*N106</f>
        <v>0.85</v>
      </c>
      <c r="V106" s="2" t="n">
        <f aca="false">H106*T106</f>
        <v>0.4675</v>
      </c>
      <c r="W106" s="2" t="n">
        <f aca="false">N106*T106</f>
        <v>0.55</v>
      </c>
      <c r="X106" s="2" t="n">
        <f aca="false">H106*N106*T106</f>
        <v>0.4675</v>
      </c>
      <c r="BC106" s="2"/>
      <c r="BD106" s="2"/>
      <c r="BE106" s="2"/>
      <c r="BF106" s="2"/>
      <c r="BL106" s="2"/>
      <c r="BM106" s="2"/>
      <c r="BN106" s="2"/>
      <c r="BO106" s="2"/>
      <c r="BP106" s="2"/>
    </row>
    <row r="107" customFormat="false" ht="13.8" hidden="false" customHeight="false" outlineLevel="0" collapsed="false">
      <c r="A107" s="1" t="n">
        <v>45931</v>
      </c>
      <c r="B107" s="2" t="n">
        <v>43145.7391304347</v>
      </c>
      <c r="C107" s="2" t="n">
        <v>1</v>
      </c>
      <c r="D107" s="2" t="n">
        <v>1</v>
      </c>
      <c r="E107" s="2" t="n">
        <v>0</v>
      </c>
      <c r="F107" s="2" t="n">
        <v>1</v>
      </c>
      <c r="G107" s="2" t="n">
        <v>1</v>
      </c>
      <c r="H107" s="7" t="n">
        <f aca="false">0.3*C107 +0.25*F107+0.2*D107+0.15*E107+0.1*G107</f>
        <v>0.85</v>
      </c>
      <c r="I107" s="2" t="n">
        <v>1</v>
      </c>
      <c r="J107" s="2" t="n">
        <v>1</v>
      </c>
      <c r="K107" s="2" t="n">
        <v>1</v>
      </c>
      <c r="L107" s="2" t="n">
        <v>1</v>
      </c>
      <c r="M107" s="2" t="n">
        <v>1</v>
      </c>
      <c r="N107" s="2" t="n">
        <f aca="false">0.3*K107+0.25*L107+0.2*I107+0.15*J107+0.1*M107</f>
        <v>1</v>
      </c>
      <c r="O107" s="2" t="n">
        <v>0</v>
      </c>
      <c r="P107" s="2" t="n">
        <v>1</v>
      </c>
      <c r="Q107" s="2" t="n">
        <v>1</v>
      </c>
      <c r="R107" s="2" t="n">
        <v>0</v>
      </c>
      <c r="S107" s="2" t="n">
        <v>1</v>
      </c>
      <c r="T107" s="2" t="n">
        <f aca="false">0.35*O107+0.25*Q107+0.15*P107+0.15*S107+0.1*R107</f>
        <v>0.55</v>
      </c>
      <c r="U107" s="2" t="n">
        <f aca="false">H107*N107</f>
        <v>0.85</v>
      </c>
      <c r="V107" s="2" t="n">
        <f aca="false">H107*T107</f>
        <v>0.4675</v>
      </c>
      <c r="W107" s="2" t="n">
        <f aca="false">N107*T107</f>
        <v>0.55</v>
      </c>
      <c r="X107" s="2" t="n">
        <f aca="false">H107*N107*T107</f>
        <v>0.4675</v>
      </c>
      <c r="BC107" s="2"/>
      <c r="BD107" s="2"/>
      <c r="BE107" s="2"/>
      <c r="BF107" s="2"/>
      <c r="BL107" s="2"/>
      <c r="BM107" s="2"/>
      <c r="BN107" s="2"/>
      <c r="BO107" s="2"/>
      <c r="BP107" s="2"/>
    </row>
    <row r="108" customFormat="false" ht="13.8" hidden="false" customHeight="false" outlineLevel="0" collapsed="false">
      <c r="A108" s="1" t="n">
        <v>45962</v>
      </c>
      <c r="B108" s="2" t="n">
        <v>48138.85</v>
      </c>
      <c r="C108" s="2" t="n">
        <v>1</v>
      </c>
      <c r="D108" s="2" t="n">
        <v>1</v>
      </c>
      <c r="E108" s="2" t="n">
        <v>0</v>
      </c>
      <c r="F108" s="2" t="n">
        <v>1</v>
      </c>
      <c r="G108" s="2" t="n">
        <v>1</v>
      </c>
      <c r="H108" s="7" t="n">
        <f aca="false">0.3*C108 +0.25*F108+0.2*D108+0.15*E108+0.1*G108</f>
        <v>0.85</v>
      </c>
      <c r="I108" s="2" t="n">
        <v>1</v>
      </c>
      <c r="J108" s="2" t="n">
        <v>1</v>
      </c>
      <c r="K108" s="2" t="n">
        <v>1</v>
      </c>
      <c r="L108" s="2" t="n">
        <v>1</v>
      </c>
      <c r="M108" s="2" t="n">
        <v>1</v>
      </c>
      <c r="N108" s="2" t="n">
        <f aca="false">0.3*K108+0.25*L108+0.2*I108+0.15*J108+0.1*M108</f>
        <v>1</v>
      </c>
      <c r="O108" s="2" t="n">
        <v>0</v>
      </c>
      <c r="P108" s="2" t="n">
        <v>1</v>
      </c>
      <c r="Q108" s="2" t="n">
        <v>1</v>
      </c>
      <c r="R108" s="2" t="n">
        <v>0</v>
      </c>
      <c r="S108" s="2" t="n">
        <v>1</v>
      </c>
      <c r="T108" s="2" t="n">
        <f aca="false">0.35*O108+0.25*Q108+0.15*P108+0.15*S108+0.1*R108</f>
        <v>0.55</v>
      </c>
      <c r="U108" s="2" t="n">
        <f aca="false">H108*N108</f>
        <v>0.85</v>
      </c>
      <c r="V108" s="2" t="n">
        <f aca="false">H108*T108</f>
        <v>0.4675</v>
      </c>
      <c r="W108" s="2" t="n">
        <f aca="false">N108*T108</f>
        <v>0.55</v>
      </c>
      <c r="X108" s="2" t="n">
        <f aca="false">H108*N108*T108</f>
        <v>0.4675</v>
      </c>
      <c r="BC108" s="2"/>
      <c r="BD108" s="2"/>
      <c r="BE108" s="2"/>
      <c r="BF108" s="2"/>
      <c r="BL108" s="2"/>
      <c r="BM108" s="2"/>
      <c r="BN108" s="2"/>
      <c r="BO108" s="2"/>
      <c r="BP108" s="2"/>
    </row>
    <row r="109" customFormat="false" ht="13.8" hidden="false" customHeight="false" outlineLevel="0" collapsed="false">
      <c r="A109" s="1" t="n">
        <v>45992</v>
      </c>
      <c r="B109" s="2" t="n">
        <v>51872.6931818181</v>
      </c>
      <c r="C109" s="2" t="n">
        <v>1</v>
      </c>
      <c r="D109" s="2" t="n">
        <v>1</v>
      </c>
      <c r="E109" s="2" t="n">
        <v>0</v>
      </c>
      <c r="F109" s="2" t="n">
        <v>1</v>
      </c>
      <c r="G109" s="2" t="n">
        <v>1</v>
      </c>
      <c r="H109" s="7" t="n">
        <f aca="false">0.3*C109 +0.25*F109+0.2*D109+0.15*E109+0.1*G109</f>
        <v>0.85</v>
      </c>
      <c r="I109" s="2" t="n">
        <v>1</v>
      </c>
      <c r="J109" s="2" t="n">
        <v>1</v>
      </c>
      <c r="K109" s="2" t="n">
        <v>1</v>
      </c>
      <c r="L109" s="2" t="n">
        <v>1</v>
      </c>
      <c r="M109" s="2" t="n">
        <v>1</v>
      </c>
      <c r="N109" s="2" t="n">
        <f aca="false">0.3*K109+0.25*L109+0.2*I109+0.15*J109+0.1*M109</f>
        <v>1</v>
      </c>
      <c r="O109" s="2" t="n">
        <v>0</v>
      </c>
      <c r="P109" s="2" t="n">
        <v>1</v>
      </c>
      <c r="Q109" s="2" t="n">
        <v>1</v>
      </c>
      <c r="R109" s="2" t="n">
        <v>0</v>
      </c>
      <c r="S109" s="2" t="n">
        <v>1</v>
      </c>
      <c r="T109" s="2" t="n">
        <f aca="false">0.35*O109+0.25*Q109+0.15*P109+0.15*S109+0.1*R109</f>
        <v>0.55</v>
      </c>
      <c r="U109" s="2" t="n">
        <f aca="false">H109*N109</f>
        <v>0.85</v>
      </c>
      <c r="V109" s="2" t="n">
        <f aca="false">H109*T109</f>
        <v>0.4675</v>
      </c>
      <c r="W109" s="2" t="n">
        <f aca="false">N109*T109</f>
        <v>0.55</v>
      </c>
      <c r="X109" s="2" t="n">
        <f aca="false">H109*N109*T109</f>
        <v>0.4675</v>
      </c>
      <c r="BC109" s="2"/>
      <c r="BD109" s="2"/>
      <c r="BE109" s="2"/>
      <c r="BF109" s="2"/>
      <c r="BL109" s="2"/>
      <c r="BM109" s="2"/>
      <c r="BN109" s="2"/>
      <c r="BO109" s="2"/>
      <c r="BP109" s="2"/>
    </row>
    <row r="110" customFormat="false" ht="13.8" hidden="false" customHeight="false" outlineLevel="0" collapsed="false">
      <c r="A110" s="1" t="n">
        <v>46023</v>
      </c>
      <c r="B110" s="2" t="n">
        <v>55500.1363636363</v>
      </c>
      <c r="C110" s="2" t="n">
        <v>1</v>
      </c>
      <c r="D110" s="2" t="n">
        <v>1</v>
      </c>
      <c r="E110" s="2" t="n">
        <v>0</v>
      </c>
      <c r="F110" s="2" t="n">
        <v>1</v>
      </c>
      <c r="G110" s="2" t="n">
        <v>1</v>
      </c>
      <c r="H110" s="7" t="n">
        <f aca="false">0.3*C110 +0.25*F110+0.2*D110+0.15*E110+0.1*G110</f>
        <v>0.85</v>
      </c>
      <c r="I110" s="2" t="n">
        <v>1</v>
      </c>
      <c r="J110" s="2" t="n">
        <v>1</v>
      </c>
      <c r="K110" s="2" t="n">
        <v>1</v>
      </c>
      <c r="L110" s="2" t="n">
        <v>1</v>
      </c>
      <c r="M110" s="2" t="n">
        <v>1</v>
      </c>
      <c r="N110" s="2" t="n">
        <f aca="false">0.3*K110+0.25*L110+0.2*I110+0.15*J110+0.1*M110</f>
        <v>1</v>
      </c>
      <c r="O110" s="2" t="n">
        <v>0</v>
      </c>
      <c r="P110" s="2" t="n">
        <v>1</v>
      </c>
      <c r="Q110" s="2" t="n">
        <v>1</v>
      </c>
      <c r="R110" s="2" t="n">
        <v>0</v>
      </c>
      <c r="S110" s="2" t="n">
        <v>1</v>
      </c>
      <c r="T110" s="2" t="n">
        <f aca="false">0.35*O110+0.25*Q110+0.15*P110+0.15*S110+0.1*R110</f>
        <v>0.55</v>
      </c>
      <c r="U110" s="2" t="n">
        <f aca="false">H110*N110</f>
        <v>0.85</v>
      </c>
      <c r="V110" s="2" t="n">
        <f aca="false">H110*T110</f>
        <v>0.4675</v>
      </c>
      <c r="W110" s="2" t="n">
        <f aca="false">N110*T110</f>
        <v>0.55</v>
      </c>
      <c r="X110" s="2" t="n">
        <f aca="false">H110*N110*T110</f>
        <v>0.4675</v>
      </c>
      <c r="BC110" s="2"/>
      <c r="BD110" s="2"/>
      <c r="BE110" s="2"/>
      <c r="BF110" s="2"/>
      <c r="BL110" s="2"/>
      <c r="BM110" s="2"/>
      <c r="BN110" s="2"/>
      <c r="BO110" s="2"/>
      <c r="BP110" s="2"/>
    </row>
    <row r="111" customFormat="false" ht="13.8" hidden="false" customHeight="false" outlineLevel="0" collapsed="false">
      <c r="A111" s="1" t="n">
        <v>46054</v>
      </c>
      <c r="B111" s="2" t="n">
        <v>55858.175</v>
      </c>
      <c r="C111" s="2" t="n">
        <v>1</v>
      </c>
      <c r="D111" s="2" t="n">
        <v>1</v>
      </c>
      <c r="E111" s="2" t="n">
        <v>0</v>
      </c>
      <c r="F111" s="2" t="n">
        <v>1</v>
      </c>
      <c r="G111" s="2" t="n">
        <v>1</v>
      </c>
      <c r="H111" s="7" t="n">
        <f aca="false">0.3*C111 +0.25*F111+0.2*D111+0.15*E111+0.1*G111</f>
        <v>0.85</v>
      </c>
      <c r="I111" s="2" t="n">
        <v>1</v>
      </c>
      <c r="J111" s="2" t="n">
        <v>1</v>
      </c>
      <c r="K111" s="2" t="n">
        <v>1</v>
      </c>
      <c r="L111" s="2" t="n">
        <v>1</v>
      </c>
      <c r="M111" s="2" t="n">
        <v>1</v>
      </c>
      <c r="N111" s="2" t="n">
        <f aca="false">0.3*K111+0.25*L111+0.2*I111+0.15*J111+0.1*M111</f>
        <v>1</v>
      </c>
      <c r="O111" s="2" t="n">
        <v>0</v>
      </c>
      <c r="P111" s="2" t="n">
        <v>1</v>
      </c>
      <c r="Q111" s="2" t="n">
        <v>1</v>
      </c>
      <c r="R111" s="2" t="n">
        <v>0</v>
      </c>
      <c r="S111" s="2" t="n">
        <v>1</v>
      </c>
      <c r="T111" s="2" t="n">
        <f aca="false">0.35*O111+0.25*Q111+0.15*P111+0.15*S111+0.1*R111</f>
        <v>0.55</v>
      </c>
      <c r="U111" s="2" t="n">
        <f aca="false">H111*N111</f>
        <v>0.85</v>
      </c>
      <c r="V111" s="2" t="n">
        <f aca="false">H111*T111</f>
        <v>0.4675</v>
      </c>
      <c r="W111" s="2" t="n">
        <f aca="false">N111*T111</f>
        <v>0.55</v>
      </c>
      <c r="X111" s="2" t="n">
        <f aca="false">H111*N111*T111</f>
        <v>0.4675</v>
      </c>
      <c r="BC111" s="2"/>
      <c r="BD111" s="2"/>
      <c r="BE111" s="2"/>
      <c r="BF111" s="2"/>
      <c r="BL111" s="2"/>
      <c r="BM111" s="2"/>
      <c r="BN111" s="2"/>
      <c r="BO111" s="2"/>
      <c r="BP111" s="2"/>
    </row>
    <row r="112" customFormat="false" ht="13.8" hidden="false" customHeight="false" outlineLevel="0" collapsed="false">
      <c r="A112" s="1" t="n">
        <v>46082</v>
      </c>
      <c r="B112" s="2" t="n">
        <v>55849.3636363636</v>
      </c>
      <c r="C112" s="2" t="n">
        <v>1</v>
      </c>
      <c r="D112" s="2" t="n">
        <v>1</v>
      </c>
      <c r="E112" s="2" t="n">
        <v>0</v>
      </c>
      <c r="F112" s="2" t="n">
        <v>1</v>
      </c>
      <c r="G112" s="2" t="n">
        <v>1</v>
      </c>
      <c r="H112" s="7" t="n">
        <f aca="false">0.3*C112 +0.25*F112+0.2*D112+0.15*E112+0.1*G112</f>
        <v>0.85</v>
      </c>
      <c r="I112" s="2" t="n">
        <v>1</v>
      </c>
      <c r="J112" s="2" t="n">
        <v>1</v>
      </c>
      <c r="K112" s="2" t="n">
        <v>1</v>
      </c>
      <c r="L112" s="2" t="n">
        <v>1</v>
      </c>
      <c r="M112" s="2" t="n">
        <v>1</v>
      </c>
      <c r="N112" s="2" t="n">
        <f aca="false">0.3*K112+0.25*L112+0.2*I112+0.15*J112+0.1*M112</f>
        <v>1</v>
      </c>
      <c r="O112" s="2" t="n">
        <v>0</v>
      </c>
      <c r="P112" s="2" t="n">
        <v>1</v>
      </c>
      <c r="Q112" s="2" t="n">
        <v>1</v>
      </c>
      <c r="R112" s="2" t="n">
        <v>0</v>
      </c>
      <c r="S112" s="2" t="n">
        <v>1</v>
      </c>
      <c r="T112" s="2" t="n">
        <f aca="false">0.35*O112+0.25*Q112+0.15*P112+0.15*S112+0.1*R112</f>
        <v>0.55</v>
      </c>
      <c r="U112" s="2" t="n">
        <f aca="false">H112*N112</f>
        <v>0.85</v>
      </c>
      <c r="V112" s="2" t="n">
        <f aca="false">H112*T112</f>
        <v>0.4675</v>
      </c>
      <c r="W112" s="2" t="n">
        <f aca="false">N112*T112</f>
        <v>0.55</v>
      </c>
      <c r="X112" s="2" t="n">
        <f aca="false">H112*N112*T112</f>
        <v>0.4675</v>
      </c>
      <c r="BC112" s="2"/>
      <c r="BD112" s="2"/>
      <c r="BE112" s="2"/>
      <c r="BF112" s="2"/>
      <c r="BL112" s="2"/>
      <c r="BM112" s="2"/>
      <c r="BN112" s="2"/>
      <c r="BO112" s="2"/>
      <c r="BP112" s="2"/>
    </row>
    <row r="113" customFormat="false" ht="13.8" hidden="false" customHeight="false" outlineLevel="0" collapsed="false">
      <c r="A113" s="1" t="n">
        <v>46113</v>
      </c>
      <c r="B113" s="2" t="n">
        <v>55857.2727272727</v>
      </c>
      <c r="C113" s="2" t="n">
        <v>1</v>
      </c>
      <c r="D113" s="2" t="n">
        <v>1</v>
      </c>
      <c r="E113" s="2" t="n">
        <v>0</v>
      </c>
      <c r="F113" s="2" t="n">
        <v>1</v>
      </c>
      <c r="G113" s="2" t="n">
        <v>1</v>
      </c>
      <c r="H113" s="7" t="n">
        <f aca="false">0.3*C113 +0.25*F113+0.2*D113+0.15*E113+0.1*G113</f>
        <v>0.85</v>
      </c>
      <c r="I113" s="2" t="n">
        <v>1</v>
      </c>
      <c r="J113" s="2" t="n">
        <v>1</v>
      </c>
      <c r="K113" s="2" t="n">
        <v>1</v>
      </c>
      <c r="L113" s="2" t="n">
        <v>1</v>
      </c>
      <c r="M113" s="2" t="n">
        <v>1</v>
      </c>
      <c r="N113" s="2" t="n">
        <f aca="false">0.3*K113+0.25*L113+0.2*I113+0.15*J113+0.1*M113</f>
        <v>1</v>
      </c>
      <c r="O113" s="2" t="n">
        <v>0</v>
      </c>
      <c r="P113" s="2" t="n">
        <v>1</v>
      </c>
      <c r="Q113" s="2" t="n">
        <v>1</v>
      </c>
      <c r="R113" s="2" t="n">
        <v>0</v>
      </c>
      <c r="S113" s="2" t="n">
        <v>1</v>
      </c>
      <c r="T113" s="2" t="n">
        <f aca="false">0.35*O113+0.25*Q113+0.15*P113+0.15*S113+0.1*R113</f>
        <v>0.55</v>
      </c>
      <c r="U113" s="2" t="n">
        <f aca="false">H113*N113</f>
        <v>0.85</v>
      </c>
      <c r="V113" s="2" t="n">
        <f aca="false">H113*T113</f>
        <v>0.4675</v>
      </c>
      <c r="W113" s="2" t="n">
        <f aca="false">N113*T113</f>
        <v>0.55</v>
      </c>
      <c r="X113" s="2" t="n">
        <f aca="false">H113*N113*T113</f>
        <v>0.4675</v>
      </c>
      <c r="BC113" s="2"/>
      <c r="BD113" s="2"/>
      <c r="BE113" s="2"/>
      <c r="BF113" s="2"/>
      <c r="BL113" s="2"/>
      <c r="BM113" s="2"/>
      <c r="BN113" s="2"/>
      <c r="BO113" s="2"/>
      <c r="BP11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4" activeCellId="0" sqref="C4"/>
    </sheetView>
  </sheetViews>
  <sheetFormatPr defaultColWidth="8.6171875" defaultRowHeight="13.8" zeroHeight="false" outlineLevelRow="0" outlineLevelCol="0"/>
  <cols>
    <col collapsed="false" customWidth="true" hidden="false" outlineLevel="0" max="1" min="1" style="1" width="14.91"/>
    <col collapsed="false" customWidth="true" hidden="false" outlineLevel="0" max="2" min="2" style="2" width="11"/>
    <col collapsed="false" customWidth="true" hidden="false" outlineLevel="0" max="19" min="3" style="2" width="10"/>
    <col collapsed="false" customWidth="true" hidden="false" outlineLevel="0" max="16384" min="16338" style="3" width="10.49"/>
  </cols>
  <sheetData>
    <row r="1" s="6" customFormat="true" ht="26.45" hidden="false" customHeight="false" outlineLevel="0" collapsed="false">
      <c r="A1" s="4" t="s">
        <v>0</v>
      </c>
      <c r="B1" s="8" t="s">
        <v>24</v>
      </c>
      <c r="C1" s="5" t="s">
        <v>25</v>
      </c>
      <c r="D1" s="5" t="s">
        <v>4</v>
      </c>
      <c r="E1" s="5" t="s">
        <v>26</v>
      </c>
      <c r="F1" s="5" t="s">
        <v>27</v>
      </c>
      <c r="G1" s="5" t="s">
        <v>28</v>
      </c>
      <c r="H1" s="5" t="s">
        <v>7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5" t="s">
        <v>13</v>
      </c>
      <c r="O1" s="5" t="s">
        <v>14</v>
      </c>
      <c r="P1" s="5" t="s">
        <v>34</v>
      </c>
      <c r="Q1" s="5" t="s">
        <v>17</v>
      </c>
      <c r="R1" s="5" t="s">
        <v>35</v>
      </c>
      <c r="S1" s="5" t="s">
        <v>36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  <row r="2" customFormat="false" ht="13.8" hidden="false" customHeight="false" outlineLevel="0" collapsed="false">
      <c r="A2" s="1" t="n">
        <v>42736</v>
      </c>
      <c r="B2" s="2" t="n">
        <v>116016.211055313</v>
      </c>
      <c r="C2" s="2" t="n">
        <v>0</v>
      </c>
      <c r="D2" s="2" t="n">
        <v>0</v>
      </c>
      <c r="E2" s="2" t="n">
        <v>0</v>
      </c>
      <c r="F2" s="2" t="n">
        <v>1</v>
      </c>
      <c r="G2" s="2" t="n">
        <v>0</v>
      </c>
      <c r="H2" s="2" t="n">
        <f aca="false">0.35*E2 + 0.25*G2+0.2*C2+0.1 * D2 + 0.1 * F2</f>
        <v>0.1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f aca="false">0.35*I2+0.25*K2+0.15*J2+0.15*L2+0.1 * M2</f>
        <v>0.35</v>
      </c>
      <c r="O2" s="2" t="n">
        <v>1</v>
      </c>
      <c r="P2" s="2" t="n">
        <v>0</v>
      </c>
      <c r="Q2" s="2" t="n">
        <v>0</v>
      </c>
      <c r="R2" s="2" t="n">
        <v>0</v>
      </c>
      <c r="S2" s="2" t="n">
        <v>0</v>
      </c>
      <c r="T2" s="3" t="n">
        <f aca="false">0.35*O2+0.25*P2+0.2 * R2 + 0.1*Q2 + 0.1 * S2</f>
        <v>0.35</v>
      </c>
      <c r="U2" s="3" t="n">
        <f aca="false">H2*N2</f>
        <v>0.035</v>
      </c>
      <c r="V2" s="3" t="n">
        <f aca="false">H2*T2</f>
        <v>0.035</v>
      </c>
      <c r="W2" s="3" t="n">
        <f aca="false">N2*T2</f>
        <v>0.1225</v>
      </c>
      <c r="X2" s="3" t="n">
        <f aca="false">H2*N2*T2</f>
        <v>0.01225</v>
      </c>
    </row>
    <row r="3" customFormat="false" ht="13.8" hidden="false" customHeight="false" outlineLevel="0" collapsed="false">
      <c r="A3" s="1" t="n">
        <v>42767</v>
      </c>
      <c r="B3" s="2" t="n">
        <v>116384.730430675</v>
      </c>
      <c r="C3" s="2" t="n">
        <v>0</v>
      </c>
      <c r="D3" s="2" t="n">
        <v>0</v>
      </c>
      <c r="E3" s="2" t="n">
        <v>0</v>
      </c>
      <c r="F3" s="2" t="n">
        <v>1</v>
      </c>
      <c r="G3" s="2" t="n">
        <v>0</v>
      </c>
      <c r="H3" s="2" t="n">
        <f aca="false">0.35*E3 + 0.25*G3+0.2*C3+0.1 * D3 + 0.1 * F3</f>
        <v>0.1</v>
      </c>
      <c r="I3" s="2" t="n">
        <v>1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f aca="false">0.35*I3+0.25*K3+0.15*J3+0.15*L3+0.1 * M3</f>
        <v>0.35</v>
      </c>
      <c r="O3" s="2" t="n">
        <v>1</v>
      </c>
      <c r="P3" s="2" t="n">
        <v>0</v>
      </c>
      <c r="Q3" s="2" t="n">
        <v>0</v>
      </c>
      <c r="R3" s="2" t="n">
        <v>0</v>
      </c>
      <c r="S3" s="2" t="n">
        <v>0</v>
      </c>
      <c r="T3" s="3" t="n">
        <f aca="false">0.35*O3+0.25*P3+0.2 * R3 + 0.1*Q3 + 0.1 * S3</f>
        <v>0.35</v>
      </c>
      <c r="U3" s="3" t="n">
        <f aca="false">H3*N3</f>
        <v>0.035</v>
      </c>
      <c r="V3" s="3" t="n">
        <f aca="false">H3*T3</f>
        <v>0.035</v>
      </c>
      <c r="W3" s="3" t="n">
        <f aca="false">N3*T3</f>
        <v>0.1225</v>
      </c>
      <c r="X3" s="3" t="n">
        <f aca="false">H3*N3*T3</f>
        <v>0.01225</v>
      </c>
    </row>
    <row r="4" customFormat="false" ht="13.8" hidden="false" customHeight="false" outlineLevel="0" collapsed="false">
      <c r="A4" s="1" t="n">
        <v>42795</v>
      </c>
      <c r="B4" s="2" t="n">
        <v>115996.794832659</v>
      </c>
      <c r="C4" s="2" t="n">
        <v>0</v>
      </c>
      <c r="D4" s="2" t="n">
        <v>0</v>
      </c>
      <c r="E4" s="2" t="n">
        <v>0</v>
      </c>
      <c r="F4" s="2" t="n">
        <v>1</v>
      </c>
      <c r="G4" s="2" t="n">
        <v>0</v>
      </c>
      <c r="H4" s="2" t="n">
        <f aca="false">0.35*E4 + 0.25*G4+0.2*C4+0.1 * D4 + 0.1 * F4</f>
        <v>0.1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f aca="false">0.35*I4+0.25*K4+0.15*J4+0.15*L4+0.1 * M4</f>
        <v>0.35</v>
      </c>
      <c r="O4" s="2" t="n">
        <v>1</v>
      </c>
      <c r="P4" s="2" t="n">
        <v>0</v>
      </c>
      <c r="Q4" s="2" t="n">
        <v>0</v>
      </c>
      <c r="R4" s="2" t="n">
        <v>0</v>
      </c>
      <c r="S4" s="2" t="n">
        <v>0</v>
      </c>
      <c r="T4" s="3" t="n">
        <f aca="false">0.35*O4+0.25*P4+0.2 * R4 + 0.1*Q4 + 0.1 * S4</f>
        <v>0.35</v>
      </c>
      <c r="U4" s="3" t="n">
        <f aca="false">H4*N4</f>
        <v>0.035</v>
      </c>
      <c r="V4" s="3" t="n">
        <f aca="false">H4*T4</f>
        <v>0.035</v>
      </c>
      <c r="W4" s="3" t="n">
        <f aca="false">N4*T4</f>
        <v>0.1225</v>
      </c>
      <c r="X4" s="3" t="n">
        <f aca="false">H4*N4*T4</f>
        <v>0.01225</v>
      </c>
    </row>
    <row r="5" customFormat="false" ht="13.8" hidden="false" customHeight="false" outlineLevel="0" collapsed="false">
      <c r="A5" s="1" t="n">
        <v>42826</v>
      </c>
      <c r="B5" s="2" t="n">
        <v>116089.77597792</v>
      </c>
      <c r="C5" s="2" t="n">
        <v>0</v>
      </c>
      <c r="D5" s="2" t="n">
        <v>0</v>
      </c>
      <c r="E5" s="2" t="n">
        <v>0</v>
      </c>
      <c r="F5" s="2" t="n">
        <v>1</v>
      </c>
      <c r="G5" s="2" t="n">
        <v>0</v>
      </c>
      <c r="H5" s="2" t="n">
        <f aca="false">0.35*E5 + 0.25*G5+0.2*C5+0.1 * D5 + 0.1 * F5</f>
        <v>0.1</v>
      </c>
      <c r="I5" s="2" t="n">
        <v>1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f aca="false">0.35*I5+0.25*K5+0.15*J5+0.15*L5+0.1 * M5</f>
        <v>0.35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0</v>
      </c>
      <c r="T5" s="3" t="n">
        <f aca="false">0.35*O5+0.25*P5+0.2 * R5 + 0.1*Q5 + 0.1 * S5</f>
        <v>0.35</v>
      </c>
      <c r="U5" s="3" t="n">
        <f aca="false">H5*N5</f>
        <v>0.035</v>
      </c>
      <c r="V5" s="3" t="n">
        <f aca="false">H5*T5</f>
        <v>0.035</v>
      </c>
      <c r="W5" s="3" t="n">
        <f aca="false">N5*T5</f>
        <v>0.1225</v>
      </c>
      <c r="X5" s="3" t="n">
        <f aca="false">H5*N5*T5</f>
        <v>0.01225</v>
      </c>
    </row>
    <row r="6" customFormat="false" ht="13.8" hidden="false" customHeight="false" outlineLevel="0" collapsed="false">
      <c r="A6" s="1" t="n">
        <v>42856</v>
      </c>
      <c r="B6" s="2" t="n">
        <v>116156.845178383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</v>
      </c>
      <c r="H6" s="2" t="n">
        <f aca="false">0.35*E6 + 0.25*G6+0.2*C6+0.1 * D6 + 0.1 * F6</f>
        <v>0.1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f aca="false">0.35*I6+0.25*K6+0.15*J6+0.15*L6+0.1 * M6</f>
        <v>0.35</v>
      </c>
      <c r="O6" s="2" t="n">
        <v>1</v>
      </c>
      <c r="P6" s="2" t="n">
        <v>0</v>
      </c>
      <c r="Q6" s="2" t="n">
        <v>0</v>
      </c>
      <c r="R6" s="2" t="n">
        <v>0</v>
      </c>
      <c r="S6" s="2" t="n">
        <v>0</v>
      </c>
      <c r="T6" s="3" t="n">
        <f aca="false">0.35*O6+0.25*P6+0.2 * R6 + 0.1*Q6 + 0.1 * S6</f>
        <v>0.35</v>
      </c>
      <c r="U6" s="3" t="n">
        <f aca="false">H6*N6</f>
        <v>0.035</v>
      </c>
      <c r="V6" s="3" t="n">
        <f aca="false">H6*T6</f>
        <v>0.035</v>
      </c>
      <c r="W6" s="3" t="n">
        <f aca="false">N6*T6</f>
        <v>0.1225</v>
      </c>
      <c r="X6" s="3" t="n">
        <f aca="false">H6*N6*T6</f>
        <v>0.01225</v>
      </c>
    </row>
    <row r="7" customFormat="false" ht="13.8" hidden="false" customHeight="false" outlineLevel="0" collapsed="false">
      <c r="A7" s="1" t="n">
        <v>42887</v>
      </c>
      <c r="B7" s="2" t="n">
        <v>117521.678090075</v>
      </c>
      <c r="C7" s="2" t="n">
        <v>0</v>
      </c>
      <c r="D7" s="2" t="n">
        <v>0</v>
      </c>
      <c r="E7" s="2" t="n">
        <v>0</v>
      </c>
      <c r="F7" s="2" t="n">
        <v>1</v>
      </c>
      <c r="G7" s="2" t="n">
        <v>0</v>
      </c>
      <c r="H7" s="2" t="n">
        <f aca="false">0.35*E7 + 0.25*G7+0.2*C7+0.1 * D7 + 0.1 * F7</f>
        <v>0.1</v>
      </c>
      <c r="I7" s="2" t="n">
        <v>1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f aca="false">0.35*I7+0.25*K7+0.15*J7+0.15*L7+0.1 * M7</f>
        <v>0.35</v>
      </c>
      <c r="O7" s="2" t="n">
        <v>1</v>
      </c>
      <c r="P7" s="2" t="n">
        <v>0</v>
      </c>
      <c r="Q7" s="2" t="n">
        <v>0</v>
      </c>
      <c r="R7" s="2" t="n">
        <v>0</v>
      </c>
      <c r="S7" s="2" t="n">
        <v>0</v>
      </c>
      <c r="T7" s="3" t="n">
        <f aca="false">0.35*O7+0.25*P7+0.2 * R7 + 0.1*Q7 + 0.1 * S7</f>
        <v>0.35</v>
      </c>
      <c r="U7" s="3" t="n">
        <f aca="false">H7*N7</f>
        <v>0.035</v>
      </c>
      <c r="V7" s="3" t="n">
        <f aca="false">H7*T7</f>
        <v>0.035</v>
      </c>
      <c r="W7" s="3" t="n">
        <f aca="false">N7*T7</f>
        <v>0.1225</v>
      </c>
      <c r="X7" s="3" t="n">
        <f aca="false">H7*N7*T7</f>
        <v>0.01225</v>
      </c>
    </row>
    <row r="8" customFormat="false" ht="13.8" hidden="false" customHeight="false" outlineLevel="0" collapsed="false">
      <c r="A8" s="1" t="n">
        <v>42917</v>
      </c>
      <c r="B8" s="2" t="n">
        <v>118117.027050481</v>
      </c>
      <c r="C8" s="2" t="n">
        <v>0</v>
      </c>
      <c r="D8" s="2" t="n">
        <v>0</v>
      </c>
      <c r="E8" s="2" t="n">
        <v>0</v>
      </c>
      <c r="F8" s="2" t="n">
        <v>1</v>
      </c>
      <c r="G8" s="2" t="n">
        <v>0</v>
      </c>
      <c r="H8" s="2" t="n">
        <f aca="false">0.35*E8 + 0.25*G8+0.2*C8+0.1 * D8 + 0.1 * F8</f>
        <v>0.1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f aca="false">0.35*I8+0.25*K8+0.15*J8+0.15*L8+0.1 * M8</f>
        <v>0.35</v>
      </c>
      <c r="O8" s="2" t="n">
        <v>1</v>
      </c>
      <c r="P8" s="2" t="n">
        <v>0</v>
      </c>
      <c r="Q8" s="2" t="n">
        <v>0</v>
      </c>
      <c r="R8" s="2" t="n">
        <v>0</v>
      </c>
      <c r="S8" s="2" t="n">
        <v>0</v>
      </c>
      <c r="T8" s="3" t="n">
        <f aca="false">0.35*O8+0.25*P8+0.2 * R8 + 0.1*Q8 + 0.1 * S8</f>
        <v>0.35</v>
      </c>
      <c r="U8" s="3" t="n">
        <f aca="false">H8*N8</f>
        <v>0.035</v>
      </c>
      <c r="V8" s="3" t="n">
        <f aca="false">H8*T8</f>
        <v>0.035</v>
      </c>
      <c r="W8" s="3" t="n">
        <f aca="false">N8*T8</f>
        <v>0.1225</v>
      </c>
      <c r="X8" s="3" t="n">
        <f aca="false">H8*N8*T8</f>
        <v>0.01225</v>
      </c>
    </row>
    <row r="9" customFormat="false" ht="13.8" hidden="false" customHeight="false" outlineLevel="0" collapsed="false">
      <c r="A9" s="1" t="n">
        <v>42948</v>
      </c>
      <c r="B9" s="2" t="n">
        <v>119918.182559187</v>
      </c>
      <c r="C9" s="2" t="n">
        <v>0</v>
      </c>
      <c r="D9" s="2" t="n">
        <v>0</v>
      </c>
      <c r="E9" s="2" t="n">
        <v>0</v>
      </c>
      <c r="F9" s="2" t="n">
        <v>1</v>
      </c>
      <c r="G9" s="2" t="n">
        <v>0</v>
      </c>
      <c r="H9" s="2" t="n">
        <f aca="false">0.35*E9 + 0.25*G9+0.2*C9+0.1 * D9 + 0.1 * F9</f>
        <v>0.1</v>
      </c>
      <c r="I9" s="2" t="n">
        <v>1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f aca="false">0.35*I9+0.25*K9+0.15*J9+0.15*L9+0.1 * M9</f>
        <v>0.35</v>
      </c>
      <c r="O9" s="2" t="n">
        <v>1</v>
      </c>
      <c r="P9" s="2" t="n">
        <v>0</v>
      </c>
      <c r="Q9" s="2" t="n">
        <v>0</v>
      </c>
      <c r="R9" s="2" t="n">
        <v>0</v>
      </c>
      <c r="S9" s="2" t="n">
        <v>0</v>
      </c>
      <c r="T9" s="3" t="n">
        <f aca="false">0.35*O9+0.25*P9+0.2 * R9 + 0.1*Q9 + 0.1 * S9</f>
        <v>0.35</v>
      </c>
      <c r="U9" s="3" t="n">
        <f aca="false">H9*N9</f>
        <v>0.035</v>
      </c>
      <c r="V9" s="3" t="n">
        <f aca="false">H9*T9</f>
        <v>0.035</v>
      </c>
      <c r="W9" s="3" t="n">
        <f aca="false">N9*T9</f>
        <v>0.1225</v>
      </c>
      <c r="X9" s="3" t="n">
        <f aca="false">H9*N9*T9</f>
        <v>0.01225</v>
      </c>
    </row>
    <row r="10" customFormat="false" ht="13.8" hidden="false" customHeight="false" outlineLevel="0" collapsed="false">
      <c r="A10" s="1" t="n">
        <v>42979</v>
      </c>
      <c r="B10" s="2" t="n">
        <v>121812.670378811</v>
      </c>
      <c r="C10" s="2" t="n">
        <v>0</v>
      </c>
      <c r="D10" s="2" t="n">
        <v>0</v>
      </c>
      <c r="E10" s="2" t="n">
        <v>0</v>
      </c>
      <c r="F10" s="2" t="n">
        <v>1</v>
      </c>
      <c r="G10" s="2" t="n">
        <v>0</v>
      </c>
      <c r="H10" s="2" t="n">
        <f aca="false">0.35*E10 + 0.25*G10+0.2*C10+0.1 * D10 + 0.1 * F10</f>
        <v>0.1</v>
      </c>
      <c r="I10" s="2" t="n">
        <v>1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f aca="false">0.35*I10+0.25*K10+0.15*J10+0.15*L10+0.1 * M10</f>
        <v>0.35</v>
      </c>
      <c r="O10" s="2" t="n">
        <v>1</v>
      </c>
      <c r="P10" s="2" t="n">
        <v>0</v>
      </c>
      <c r="Q10" s="2" t="n">
        <v>0</v>
      </c>
      <c r="R10" s="2" t="n">
        <v>0</v>
      </c>
      <c r="S10" s="2" t="n">
        <v>0</v>
      </c>
      <c r="T10" s="3" t="n">
        <f aca="false">0.35*O10+0.25*P10+0.2 * R10 + 0.1*Q10 + 0.1 * S10</f>
        <v>0.35</v>
      </c>
      <c r="U10" s="3" t="n">
        <f aca="false">H10*N10</f>
        <v>0.035</v>
      </c>
      <c r="V10" s="3" t="n">
        <f aca="false">H10*T10</f>
        <v>0.035</v>
      </c>
      <c r="W10" s="3" t="n">
        <f aca="false">N10*T10</f>
        <v>0.1225</v>
      </c>
      <c r="X10" s="3" t="n">
        <f aca="false">H10*N10*T10</f>
        <v>0.01225</v>
      </c>
    </row>
    <row r="11" customFormat="false" ht="13.8" hidden="false" customHeight="false" outlineLevel="0" collapsed="false">
      <c r="A11" s="1" t="n">
        <v>43009</v>
      </c>
      <c r="B11" s="2" t="n">
        <v>123644.601598074</v>
      </c>
      <c r="C11" s="2" t="n">
        <v>0</v>
      </c>
      <c r="D11" s="2" t="n">
        <v>0</v>
      </c>
      <c r="E11" s="2" t="n">
        <v>0</v>
      </c>
      <c r="F11" s="2" t="n">
        <v>1</v>
      </c>
      <c r="G11" s="2" t="n">
        <v>0</v>
      </c>
      <c r="H11" s="2" t="n">
        <f aca="false">0.35*E11 + 0.25*G11+0.2*C11+0.1 * D11 + 0.1 * F11</f>
        <v>0.1</v>
      </c>
      <c r="I11" s="2" t="n">
        <v>1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f aca="false">0.35*I11+0.25*K11+0.15*J11+0.15*L11+0.1 * M11</f>
        <v>0.35</v>
      </c>
      <c r="O11" s="2" t="n">
        <v>1</v>
      </c>
      <c r="P11" s="2" t="n">
        <v>0</v>
      </c>
      <c r="Q11" s="2" t="n">
        <v>0</v>
      </c>
      <c r="R11" s="2" t="n">
        <v>0</v>
      </c>
      <c r="S11" s="2" t="n">
        <v>0</v>
      </c>
      <c r="T11" s="3" t="n">
        <f aca="false">0.35*O11+0.25*P11+0.2 * R11 + 0.1*Q11 + 0.1 * S11</f>
        <v>0.35</v>
      </c>
      <c r="U11" s="3" t="n">
        <f aca="false">H11*N11</f>
        <v>0.035</v>
      </c>
      <c r="V11" s="3" t="n">
        <f aca="false">H11*T11</f>
        <v>0.035</v>
      </c>
      <c r="W11" s="3" t="n">
        <f aca="false">N11*T11</f>
        <v>0.1225</v>
      </c>
      <c r="X11" s="3" t="n">
        <f aca="false">H11*N11*T11</f>
        <v>0.01225</v>
      </c>
    </row>
    <row r="12" customFormat="false" ht="13.8" hidden="false" customHeight="false" outlineLevel="0" collapsed="false">
      <c r="A12" s="1" t="n">
        <v>43040</v>
      </c>
      <c r="B12" s="2" t="n">
        <v>132143.843516311</v>
      </c>
      <c r="C12" s="2" t="n">
        <v>0</v>
      </c>
      <c r="D12" s="2" t="n">
        <v>0</v>
      </c>
      <c r="E12" s="2" t="n">
        <v>0</v>
      </c>
      <c r="F12" s="2" t="n">
        <v>1</v>
      </c>
      <c r="G12" s="2" t="n">
        <v>0</v>
      </c>
      <c r="H12" s="2" t="n">
        <f aca="false">0.35*E12 + 0.25*G12+0.2*C12+0.1 * D12 + 0.1 * F12</f>
        <v>0.1</v>
      </c>
      <c r="I12" s="2" t="n">
        <v>1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f aca="false">0.35*I12+0.25*K12+0.15*J12+0.15*L12+0.1 * M12</f>
        <v>0.35</v>
      </c>
      <c r="O12" s="2" t="n">
        <v>1</v>
      </c>
      <c r="P12" s="2" t="n">
        <v>0</v>
      </c>
      <c r="Q12" s="2" t="n">
        <v>0</v>
      </c>
      <c r="R12" s="2" t="n">
        <v>0</v>
      </c>
      <c r="S12" s="2" t="n">
        <v>0</v>
      </c>
      <c r="T12" s="3" t="n">
        <f aca="false">0.35*O12+0.25*P12+0.2 * R12 + 0.1*Q12 + 0.1 * S12</f>
        <v>0.35</v>
      </c>
      <c r="U12" s="3" t="n">
        <f aca="false">H12*N12</f>
        <v>0.035</v>
      </c>
      <c r="V12" s="3" t="n">
        <f aca="false">H12*T12</f>
        <v>0.035</v>
      </c>
      <c r="W12" s="3" t="n">
        <f aca="false">N12*T12</f>
        <v>0.1225</v>
      </c>
      <c r="X12" s="3" t="n">
        <f aca="false">H12*N12*T12</f>
        <v>0.01225</v>
      </c>
    </row>
    <row r="13" customFormat="false" ht="13.8" hidden="false" customHeight="false" outlineLevel="0" collapsed="false">
      <c r="A13" s="1" t="n">
        <v>43070</v>
      </c>
      <c r="B13" s="2" t="n">
        <v>138042.444957892</v>
      </c>
      <c r="C13" s="2" t="n">
        <v>0</v>
      </c>
      <c r="D13" s="2" t="n">
        <v>0</v>
      </c>
      <c r="E13" s="2" t="n">
        <v>0</v>
      </c>
      <c r="F13" s="2" t="n">
        <v>1</v>
      </c>
      <c r="G13" s="2" t="n">
        <v>0</v>
      </c>
      <c r="H13" s="2" t="n">
        <f aca="false">0.35*E13 + 0.25*G13+0.2*C13+0.1 * D13 + 0.1 * F13</f>
        <v>0.1</v>
      </c>
      <c r="I13" s="2" t="n">
        <v>1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f aca="false">0.35*I13+0.25*K13+0.15*J13+0.15*L13+0.1 * M13</f>
        <v>0.35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0</v>
      </c>
      <c r="T13" s="3" t="n">
        <f aca="false">0.35*O13+0.25*P13+0.2 * R13 + 0.1*Q13 + 0.1 * S13</f>
        <v>0.35</v>
      </c>
      <c r="U13" s="3" t="n">
        <f aca="false">H13*N13</f>
        <v>0.035</v>
      </c>
      <c r="V13" s="3" t="n">
        <f aca="false">H13*T13</f>
        <v>0.035</v>
      </c>
      <c r="W13" s="3" t="n">
        <f aca="false">N13*T13</f>
        <v>0.1225</v>
      </c>
      <c r="X13" s="3" t="n">
        <f aca="false">H13*N13*T13</f>
        <v>0.01225</v>
      </c>
    </row>
    <row r="14" customFormat="false" ht="13.8" hidden="false" customHeight="false" outlineLevel="0" collapsed="false">
      <c r="A14" s="1" t="n">
        <v>43101</v>
      </c>
      <c r="B14" s="2" t="n">
        <v>141477.973615739</v>
      </c>
      <c r="C14" s="2" t="n">
        <v>0</v>
      </c>
      <c r="D14" s="2" t="n">
        <v>0</v>
      </c>
      <c r="E14" s="2" t="n">
        <v>0</v>
      </c>
      <c r="F14" s="2" t="n">
        <v>1</v>
      </c>
      <c r="G14" s="2" t="n">
        <v>0</v>
      </c>
      <c r="H14" s="2" t="n">
        <f aca="false">0.35*E14 + 0.25*G14+0.2*C14+0.1 * D14 + 0.1 * F14</f>
        <v>0.1</v>
      </c>
      <c r="I14" s="2" t="n">
        <v>1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f aca="false">0.35*I14+0.25*K14+0.15*J14+0.15*L14+0.1 * M14</f>
        <v>0.35</v>
      </c>
      <c r="O14" s="2" t="n">
        <v>1</v>
      </c>
      <c r="P14" s="2" t="n">
        <v>0</v>
      </c>
      <c r="Q14" s="2" t="n">
        <v>0</v>
      </c>
      <c r="R14" s="2" t="n">
        <v>0</v>
      </c>
      <c r="S14" s="2" t="n">
        <v>0</v>
      </c>
      <c r="T14" s="3" t="n">
        <f aca="false">0.35*O14+0.25*P14+0.2 * R14 + 0.1*Q14 + 0.1 * S14</f>
        <v>0.35</v>
      </c>
      <c r="U14" s="3" t="n">
        <f aca="false">H14*N14</f>
        <v>0.035</v>
      </c>
      <c r="V14" s="3" t="n">
        <f aca="false">H14*T14</f>
        <v>0.035</v>
      </c>
      <c r="W14" s="3" t="n">
        <f aca="false">N14*T14</f>
        <v>0.1225</v>
      </c>
      <c r="X14" s="3" t="n">
        <f aca="false">H14*N14*T14</f>
        <v>0.01225</v>
      </c>
    </row>
    <row r="15" customFormat="false" ht="13.8" hidden="false" customHeight="false" outlineLevel="0" collapsed="false">
      <c r="A15" s="1" t="n">
        <v>43132</v>
      </c>
      <c r="B15" s="2" t="n">
        <v>143975.769873261</v>
      </c>
      <c r="C15" s="2" t="n">
        <v>0</v>
      </c>
      <c r="D15" s="2" t="n">
        <v>0</v>
      </c>
      <c r="E15" s="2" t="n">
        <v>0</v>
      </c>
      <c r="F15" s="2" t="n">
        <v>1</v>
      </c>
      <c r="G15" s="2" t="n">
        <v>0</v>
      </c>
      <c r="H15" s="2" t="n">
        <f aca="false">0.35*E15 + 0.25*G15+0.2*C15+0.1 * D15 + 0.1 * F15</f>
        <v>0.1</v>
      </c>
      <c r="I15" s="2" t="n">
        <v>1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f aca="false">0.35*I15+0.25*K15+0.15*J15+0.15*L15+0.1 * M15</f>
        <v>0.35</v>
      </c>
      <c r="O15" s="2" t="n">
        <v>1</v>
      </c>
      <c r="P15" s="2" t="n">
        <v>0</v>
      </c>
      <c r="Q15" s="2" t="n">
        <v>0</v>
      </c>
      <c r="R15" s="2" t="n">
        <v>0</v>
      </c>
      <c r="S15" s="2" t="n">
        <v>0</v>
      </c>
      <c r="T15" s="3" t="n">
        <f aca="false">0.35*O15+0.25*P15+0.2 * R15 + 0.1*Q15 + 0.1 * S15</f>
        <v>0.35</v>
      </c>
      <c r="U15" s="3" t="n">
        <f aca="false">H15*N15</f>
        <v>0.035</v>
      </c>
      <c r="V15" s="3" t="n">
        <f aca="false">H15*T15</f>
        <v>0.035</v>
      </c>
      <c r="W15" s="3" t="n">
        <f aca="false">N15*T15</f>
        <v>0.1225</v>
      </c>
      <c r="X15" s="3" t="n">
        <f aca="false">H15*N15*T15</f>
        <v>0.01225</v>
      </c>
    </row>
    <row r="16" customFormat="false" ht="13.8" hidden="false" customHeight="false" outlineLevel="0" collapsed="false">
      <c r="A16" s="1" t="n">
        <v>43160</v>
      </c>
      <c r="B16" s="2" t="n">
        <v>143979.278202447</v>
      </c>
      <c r="C16" s="2" t="n">
        <v>1</v>
      </c>
      <c r="D16" s="2" t="n">
        <v>0</v>
      </c>
      <c r="E16" s="2" t="n">
        <v>0</v>
      </c>
      <c r="F16" s="2" t="n">
        <v>1</v>
      </c>
      <c r="G16" s="2" t="n">
        <v>0</v>
      </c>
      <c r="H16" s="2" t="n">
        <f aca="false">0.35*E16 + 0.25*G16+0.2*C16+0.1 * D16 + 0.1 * F16</f>
        <v>0.3</v>
      </c>
      <c r="I16" s="2" t="n">
        <v>1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f aca="false">0.35*I16+0.25*K16+0.15*J16+0.15*L16+0.1 * M16</f>
        <v>0.35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0</v>
      </c>
      <c r="T16" s="3" t="n">
        <f aca="false">0.35*O16+0.25*P16+0.2 * R16 + 0.1*Q16 + 0.1 * S16</f>
        <v>0.35</v>
      </c>
      <c r="U16" s="3" t="n">
        <f aca="false">H16*N16</f>
        <v>0.105</v>
      </c>
      <c r="V16" s="3" t="n">
        <f aca="false">H16*T16</f>
        <v>0.105</v>
      </c>
      <c r="W16" s="3" t="n">
        <f aca="false">N16*T16</f>
        <v>0.1225</v>
      </c>
      <c r="X16" s="3" t="n">
        <f aca="false">H16*N16*T16</f>
        <v>0.03675</v>
      </c>
    </row>
    <row r="17" customFormat="false" ht="13.8" hidden="false" customHeight="false" outlineLevel="0" collapsed="false">
      <c r="A17" s="1" t="n">
        <v>43191</v>
      </c>
      <c r="B17" s="2" t="n">
        <v>144462.566048227</v>
      </c>
      <c r="C17" s="2" t="n">
        <v>1</v>
      </c>
      <c r="D17" s="2" t="n">
        <v>0</v>
      </c>
      <c r="E17" s="2" t="n">
        <v>0</v>
      </c>
      <c r="F17" s="2" t="n">
        <v>1</v>
      </c>
      <c r="G17" s="2" t="n">
        <v>0</v>
      </c>
      <c r="H17" s="2" t="n">
        <f aca="false">0.35*E17 + 0.25*G17+0.2*C17+0.1 * D17 + 0.1 * F17</f>
        <v>0.3</v>
      </c>
      <c r="I17" s="2" t="n">
        <v>1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f aca="false">0.35*I17+0.25*K17+0.15*J17+0.15*L17+0.1 * M17</f>
        <v>0.35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0</v>
      </c>
      <c r="T17" s="3" t="n">
        <f aca="false">0.35*O17+0.25*P17+0.2 * R17 + 0.1*Q17 + 0.1 * S17</f>
        <v>0.35</v>
      </c>
      <c r="U17" s="3" t="n">
        <f aca="false">H17*N17</f>
        <v>0.105</v>
      </c>
      <c r="V17" s="3" t="n">
        <f aca="false">H17*T17</f>
        <v>0.105</v>
      </c>
      <c r="W17" s="3" t="n">
        <f aca="false">N17*T17</f>
        <v>0.1225</v>
      </c>
      <c r="X17" s="3" t="n">
        <f aca="false">H17*N17*T17</f>
        <v>0.03675</v>
      </c>
    </row>
    <row r="18" customFormat="false" ht="13.8" hidden="false" customHeight="false" outlineLevel="0" collapsed="false">
      <c r="A18" s="1" t="n">
        <v>43221</v>
      </c>
      <c r="B18" s="2" t="n">
        <v>143941.600632449</v>
      </c>
      <c r="C18" s="2" t="n">
        <v>1</v>
      </c>
      <c r="D18" s="2" t="n">
        <v>0</v>
      </c>
      <c r="E18" s="2" t="n">
        <v>0</v>
      </c>
      <c r="F18" s="2" t="n">
        <v>1</v>
      </c>
      <c r="G18" s="2" t="n">
        <v>0</v>
      </c>
      <c r="H18" s="2" t="n">
        <f aca="false">0.35*E18 + 0.25*G18+0.2*C18+0.1 * D18 + 0.1 * F18</f>
        <v>0.3</v>
      </c>
      <c r="I18" s="2" t="n">
        <v>1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f aca="false">0.35*I18+0.25*K18+0.15*J18+0.15*L18+0.1 * M18</f>
        <v>0.35</v>
      </c>
      <c r="O18" s="2" t="n">
        <v>1</v>
      </c>
      <c r="P18" s="2" t="n">
        <v>0</v>
      </c>
      <c r="Q18" s="2" t="n">
        <v>0</v>
      </c>
      <c r="R18" s="2" t="n">
        <v>0</v>
      </c>
      <c r="S18" s="2" t="n">
        <v>0</v>
      </c>
      <c r="T18" s="3" t="n">
        <f aca="false">0.35*O18+0.25*P18+0.2 * R18 + 0.1*Q18 + 0.1 * S18</f>
        <v>0.35</v>
      </c>
      <c r="U18" s="3" t="n">
        <f aca="false">H18*N18</f>
        <v>0.105</v>
      </c>
      <c r="V18" s="3" t="n">
        <f aca="false">H18*T18</f>
        <v>0.105</v>
      </c>
      <c r="W18" s="3" t="n">
        <f aca="false">N18*T18</f>
        <v>0.1225</v>
      </c>
      <c r="X18" s="3" t="n">
        <f aca="false">H18*N18*T18</f>
        <v>0.03675</v>
      </c>
    </row>
    <row r="19" customFormat="false" ht="13.8" hidden="false" customHeight="false" outlineLevel="0" collapsed="false">
      <c r="A19" s="1" t="n">
        <v>43252</v>
      </c>
      <c r="B19" s="2" t="n">
        <v>144682.212057702</v>
      </c>
      <c r="C19" s="2" t="n">
        <v>1</v>
      </c>
      <c r="D19" s="2" t="n">
        <v>0</v>
      </c>
      <c r="E19" s="2" t="n">
        <v>0</v>
      </c>
      <c r="F19" s="2" t="n">
        <v>1</v>
      </c>
      <c r="G19" s="2" t="n">
        <v>0</v>
      </c>
      <c r="H19" s="2" t="n">
        <f aca="false">0.35*E19 + 0.25*G19+0.2*C19+0.1 * D19 + 0.1 * F19</f>
        <v>0.3</v>
      </c>
      <c r="I19" s="2" t="n">
        <v>1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f aca="false">0.35*I19+0.25*K19+0.15*J19+0.15*L19+0.1 * M19</f>
        <v>0.35</v>
      </c>
      <c r="O19" s="2" t="n">
        <v>1</v>
      </c>
      <c r="P19" s="2" t="n">
        <v>0</v>
      </c>
      <c r="Q19" s="2" t="n">
        <v>0</v>
      </c>
      <c r="R19" s="2" t="n">
        <v>0</v>
      </c>
      <c r="S19" s="2" t="n">
        <v>0</v>
      </c>
      <c r="T19" s="3" t="n">
        <f aca="false">0.35*O19+0.25*P19+0.2 * R19 + 0.1*Q19 + 0.1 * S19</f>
        <v>0.35</v>
      </c>
      <c r="U19" s="3" t="n">
        <f aca="false">H19*N19</f>
        <v>0.105</v>
      </c>
      <c r="V19" s="3" t="n">
        <f aca="false">H19*T19</f>
        <v>0.105</v>
      </c>
      <c r="W19" s="3" t="n">
        <f aca="false">N19*T19</f>
        <v>0.1225</v>
      </c>
      <c r="X19" s="3" t="n">
        <f aca="false">H19*N19*T19</f>
        <v>0.03675</v>
      </c>
    </row>
    <row r="20" customFormat="false" ht="13.8" hidden="false" customHeight="false" outlineLevel="0" collapsed="false">
      <c r="A20" s="1" t="n">
        <v>43282</v>
      </c>
      <c r="B20" s="2" t="n">
        <v>136396.491975664</v>
      </c>
      <c r="C20" s="2" t="n">
        <v>1</v>
      </c>
      <c r="D20" s="2" t="n">
        <v>0</v>
      </c>
      <c r="E20" s="2" t="n">
        <v>0</v>
      </c>
      <c r="F20" s="2" t="n">
        <v>1</v>
      </c>
      <c r="G20" s="2" t="n">
        <v>0</v>
      </c>
      <c r="H20" s="2" t="n">
        <f aca="false">0.35*E20 + 0.25*G20+0.2*C20+0.1 * D20 + 0.1 * F20</f>
        <v>0.3</v>
      </c>
      <c r="I20" s="2" t="n">
        <v>1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f aca="false">0.35*I20+0.25*K20+0.15*J20+0.15*L20+0.1 * M20</f>
        <v>0.35</v>
      </c>
      <c r="O20" s="2" t="n">
        <v>1</v>
      </c>
      <c r="P20" s="2" t="n">
        <v>0</v>
      </c>
      <c r="Q20" s="2" t="n">
        <v>0</v>
      </c>
      <c r="R20" s="2" t="n">
        <v>0</v>
      </c>
      <c r="S20" s="2" t="n">
        <v>0</v>
      </c>
      <c r="T20" s="3" t="n">
        <f aca="false">0.35*O20+0.25*P20+0.2 * R20 + 0.1*Q20 + 0.1 * S20</f>
        <v>0.35</v>
      </c>
      <c r="U20" s="3" t="n">
        <f aca="false">H20*N20</f>
        <v>0.105</v>
      </c>
      <c r="V20" s="3" t="n">
        <f aca="false">H20*T20</f>
        <v>0.105</v>
      </c>
      <c r="W20" s="3" t="n">
        <f aca="false">N20*T20</f>
        <v>0.1225</v>
      </c>
      <c r="X20" s="3" t="n">
        <f aca="false">H20*N20*T20</f>
        <v>0.03675</v>
      </c>
    </row>
    <row r="21" customFormat="false" ht="13.8" hidden="false" customHeight="false" outlineLevel="0" collapsed="false">
      <c r="A21" s="1" t="n">
        <v>43313</v>
      </c>
      <c r="B21" s="2" t="n">
        <v>131186.003755734</v>
      </c>
      <c r="C21" s="2" t="n">
        <v>1</v>
      </c>
      <c r="D21" s="2" t="n">
        <v>0</v>
      </c>
      <c r="E21" s="2" t="n">
        <v>0</v>
      </c>
      <c r="F21" s="2" t="n">
        <v>1</v>
      </c>
      <c r="G21" s="2" t="n">
        <v>0</v>
      </c>
      <c r="H21" s="2" t="n">
        <f aca="false">0.35*E21 + 0.25*G21+0.2*C21+0.1 * D21 + 0.1 * F21</f>
        <v>0.3</v>
      </c>
      <c r="I21" s="2" t="n">
        <v>1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f aca="false">0.35*I21+0.25*K21+0.15*J21+0.15*L21+0.1 * M21</f>
        <v>0.35</v>
      </c>
      <c r="O21" s="2" t="n">
        <v>1</v>
      </c>
      <c r="P21" s="2" t="n">
        <v>0</v>
      </c>
      <c r="Q21" s="2" t="n">
        <v>0</v>
      </c>
      <c r="R21" s="2" t="n">
        <v>0</v>
      </c>
      <c r="S21" s="2" t="n">
        <v>0</v>
      </c>
      <c r="T21" s="3" t="n">
        <f aca="false">0.35*O21+0.25*P21+0.2 * R21 + 0.1*Q21 + 0.1 * S21</f>
        <v>0.35</v>
      </c>
      <c r="U21" s="3" t="n">
        <f aca="false">H21*N21</f>
        <v>0.105</v>
      </c>
      <c r="V21" s="3" t="n">
        <f aca="false">H21*T21</f>
        <v>0.105</v>
      </c>
      <c r="W21" s="3" t="n">
        <f aca="false">N21*T21</f>
        <v>0.1225</v>
      </c>
      <c r="X21" s="3" t="n">
        <f aca="false">H21*N21*T21</f>
        <v>0.03675</v>
      </c>
    </row>
    <row r="22" customFormat="false" ht="13.8" hidden="false" customHeight="false" outlineLevel="0" collapsed="false">
      <c r="A22" s="1" t="n">
        <v>43344</v>
      </c>
      <c r="B22" s="2" t="n">
        <v>128398.339152453</v>
      </c>
      <c r="C22" s="2" t="n">
        <v>1</v>
      </c>
      <c r="D22" s="2" t="n">
        <v>0</v>
      </c>
      <c r="E22" s="2" t="n">
        <v>0</v>
      </c>
      <c r="F22" s="2" t="n">
        <v>1</v>
      </c>
      <c r="G22" s="2" t="n">
        <v>0</v>
      </c>
      <c r="H22" s="2" t="n">
        <f aca="false">0.35*E22 + 0.25*G22+0.2*C22+0.1 * D22 + 0.1 * F22</f>
        <v>0.3</v>
      </c>
      <c r="I22" s="2" t="n">
        <v>1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f aca="false">0.35*I22+0.25*K22+0.15*J22+0.15*L22+0.1 * M22</f>
        <v>0.35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0</v>
      </c>
      <c r="T22" s="3" t="n">
        <f aca="false">0.35*O22+0.25*P22+0.2 * R22 + 0.1*Q22 + 0.1 * S22</f>
        <v>0.35</v>
      </c>
      <c r="U22" s="3" t="n">
        <f aca="false">H22*N22</f>
        <v>0.105</v>
      </c>
      <c r="V22" s="3" t="n">
        <f aca="false">H22*T22</f>
        <v>0.105</v>
      </c>
      <c r="W22" s="3" t="n">
        <f aca="false">N22*T22</f>
        <v>0.1225</v>
      </c>
      <c r="X22" s="3" t="n">
        <f aca="false">H22*N22*T22</f>
        <v>0.03675</v>
      </c>
    </row>
    <row r="23" customFormat="false" ht="13.8" hidden="false" customHeight="false" outlineLevel="0" collapsed="false">
      <c r="A23" s="1" t="n">
        <v>43374</v>
      </c>
      <c r="B23" s="2" t="n">
        <v>124993.641199505</v>
      </c>
      <c r="C23" s="2" t="n">
        <v>1</v>
      </c>
      <c r="D23" s="2" t="n">
        <v>0</v>
      </c>
      <c r="E23" s="2" t="n">
        <v>0</v>
      </c>
      <c r="F23" s="2" t="n">
        <v>1</v>
      </c>
      <c r="G23" s="2" t="n">
        <v>0</v>
      </c>
      <c r="H23" s="2" t="n">
        <f aca="false">0.35*E23 + 0.25*G23+0.2*C23+0.1 * D23 + 0.1 * F23</f>
        <v>0.3</v>
      </c>
      <c r="I23" s="2" t="n">
        <v>1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f aca="false">0.35*I23+0.25*K23+0.15*J23+0.15*L23+0.1 * M23</f>
        <v>0.35</v>
      </c>
      <c r="O23" s="2" t="n">
        <v>1</v>
      </c>
      <c r="P23" s="2" t="n">
        <v>0</v>
      </c>
      <c r="Q23" s="2" t="n">
        <v>0</v>
      </c>
      <c r="R23" s="2" t="n">
        <v>0</v>
      </c>
      <c r="S23" s="2" t="n">
        <v>0</v>
      </c>
      <c r="T23" s="3" t="n">
        <f aca="false">0.35*O23+0.25*P23+0.2 * R23 + 0.1*Q23 + 0.1 * S23</f>
        <v>0.35</v>
      </c>
      <c r="U23" s="3" t="n">
        <f aca="false">H23*N23</f>
        <v>0.105</v>
      </c>
      <c r="V23" s="3" t="n">
        <f aca="false">H23*T23</f>
        <v>0.105</v>
      </c>
      <c r="W23" s="3" t="n">
        <f aca="false">N23*T23</f>
        <v>0.1225</v>
      </c>
      <c r="X23" s="3" t="n">
        <f aca="false">H23*N23*T23</f>
        <v>0.03675</v>
      </c>
    </row>
    <row r="24" customFormat="false" ht="13.8" hidden="false" customHeight="false" outlineLevel="0" collapsed="false">
      <c r="A24" s="1" t="n">
        <v>43405</v>
      </c>
      <c r="B24" s="2" t="n">
        <v>120330.282437043</v>
      </c>
      <c r="C24" s="2" t="n">
        <v>1</v>
      </c>
      <c r="D24" s="2" t="n">
        <v>0</v>
      </c>
      <c r="E24" s="2" t="n">
        <v>0</v>
      </c>
      <c r="F24" s="2" t="n">
        <v>1</v>
      </c>
      <c r="G24" s="2" t="n">
        <v>0</v>
      </c>
      <c r="H24" s="2" t="n">
        <f aca="false">0.35*E24 + 0.25*G24+0.2*C24+0.1 * D24 + 0.1 * F24</f>
        <v>0.3</v>
      </c>
      <c r="I24" s="2" t="n">
        <v>1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f aca="false">0.35*I24+0.25*K24+0.15*J24+0.15*L24+0.1 * M24</f>
        <v>0.35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  <c r="T24" s="3" t="n">
        <f aca="false">0.35*O24+0.25*P24+0.2 * R24 + 0.1*Q24 + 0.1 * S24</f>
        <v>0.35</v>
      </c>
      <c r="U24" s="3" t="n">
        <f aca="false">H24*N24</f>
        <v>0.105</v>
      </c>
      <c r="V24" s="3" t="n">
        <f aca="false">H24*T24</f>
        <v>0.105</v>
      </c>
      <c r="W24" s="3" t="n">
        <f aca="false">N24*T24</f>
        <v>0.1225</v>
      </c>
      <c r="X24" s="3" t="n">
        <f aca="false">H24*N24*T24</f>
        <v>0.03675</v>
      </c>
    </row>
    <row r="25" customFormat="false" ht="13.8" hidden="false" customHeight="false" outlineLevel="0" collapsed="false">
      <c r="A25" s="1" t="n">
        <v>43435</v>
      </c>
      <c r="B25" s="2" t="n">
        <v>119539.937318043</v>
      </c>
      <c r="C25" s="2" t="n">
        <v>1</v>
      </c>
      <c r="D25" s="2" t="n">
        <v>0</v>
      </c>
      <c r="E25" s="2" t="n">
        <v>0</v>
      </c>
      <c r="F25" s="2" t="n">
        <v>1</v>
      </c>
      <c r="G25" s="2" t="n">
        <v>0</v>
      </c>
      <c r="H25" s="2" t="n">
        <f aca="false">0.35*E25 + 0.25*G25+0.2*C25+0.1 * D25 + 0.1 * F25</f>
        <v>0.3</v>
      </c>
      <c r="I25" s="2" t="n">
        <v>1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f aca="false">0.35*I25+0.25*K25+0.15*J25+0.15*L25+0.1 * M25</f>
        <v>0.35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0</v>
      </c>
      <c r="T25" s="3" t="n">
        <f aca="false">0.35*O25+0.25*P25+0.2 * R25 + 0.1*Q25 + 0.1 * S25</f>
        <v>0.35</v>
      </c>
      <c r="U25" s="3" t="n">
        <f aca="false">H25*N25</f>
        <v>0.105</v>
      </c>
      <c r="V25" s="3" t="n">
        <f aca="false">H25*T25</f>
        <v>0.105</v>
      </c>
      <c r="W25" s="3" t="n">
        <f aca="false">N25*T25</f>
        <v>0.1225</v>
      </c>
      <c r="X25" s="3" t="n">
        <f aca="false">H25*N25*T25</f>
        <v>0.03675</v>
      </c>
    </row>
    <row r="26" customFormat="false" ht="13.8" hidden="false" customHeight="false" outlineLevel="0" collapsed="false">
      <c r="A26" s="1" t="n">
        <v>43466</v>
      </c>
      <c r="B26" s="2" t="n">
        <v>117410.341384759</v>
      </c>
      <c r="C26" s="2" t="n">
        <v>1</v>
      </c>
      <c r="D26" s="2" t="n">
        <v>0</v>
      </c>
      <c r="E26" s="2" t="n">
        <v>0</v>
      </c>
      <c r="F26" s="2" t="n">
        <v>1</v>
      </c>
      <c r="G26" s="2" t="n">
        <v>0</v>
      </c>
      <c r="H26" s="2" t="n">
        <f aca="false">0.35*E26 + 0.25*G26+0.2*C26+0.1 * D26 + 0.1 * F26</f>
        <v>0.3</v>
      </c>
      <c r="I26" s="2" t="n">
        <v>1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f aca="false">0.35*I26+0.25*K26+0.15*J26+0.15*L26+0.1 * M26</f>
        <v>0.35</v>
      </c>
      <c r="O26" s="2" t="n">
        <v>1</v>
      </c>
      <c r="P26" s="2" t="n">
        <v>0</v>
      </c>
      <c r="Q26" s="2" t="n">
        <v>0</v>
      </c>
      <c r="R26" s="2" t="n">
        <v>0</v>
      </c>
      <c r="S26" s="2" t="n">
        <v>0</v>
      </c>
      <c r="T26" s="3" t="n">
        <f aca="false">0.35*O26+0.25*P26+0.2 * R26 + 0.1*Q26 + 0.1 * S26</f>
        <v>0.35</v>
      </c>
      <c r="U26" s="3" t="n">
        <f aca="false">H26*N26</f>
        <v>0.105</v>
      </c>
      <c r="V26" s="3" t="n">
        <f aca="false">H26*T26</f>
        <v>0.105</v>
      </c>
      <c r="W26" s="3" t="n">
        <f aca="false">N26*T26</f>
        <v>0.1225</v>
      </c>
      <c r="X26" s="3" t="n">
        <f aca="false">H26*N26*T26</f>
        <v>0.03675</v>
      </c>
    </row>
    <row r="27" customFormat="false" ht="13.8" hidden="false" customHeight="false" outlineLevel="0" collapsed="false">
      <c r="A27" s="1" t="n">
        <v>43497</v>
      </c>
      <c r="B27" s="2" t="n">
        <v>117155.207249767</v>
      </c>
      <c r="C27" s="2" t="n">
        <v>1</v>
      </c>
      <c r="D27" s="2" t="n">
        <v>0</v>
      </c>
      <c r="E27" s="2" t="n">
        <v>0</v>
      </c>
      <c r="F27" s="2" t="n">
        <v>1</v>
      </c>
      <c r="G27" s="2" t="n">
        <v>0</v>
      </c>
      <c r="H27" s="2" t="n">
        <f aca="false">0.35*E27 + 0.25*G27+0.2*C27+0.1 * D27 + 0.1 * F27</f>
        <v>0.3</v>
      </c>
      <c r="I27" s="2" t="n">
        <v>1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f aca="false">0.35*I27+0.25*K27+0.15*J27+0.15*L27+0.1 * M27</f>
        <v>0.35</v>
      </c>
      <c r="O27" s="2" t="n">
        <v>1</v>
      </c>
      <c r="P27" s="2" t="n">
        <v>0</v>
      </c>
      <c r="Q27" s="2" t="n">
        <v>0</v>
      </c>
      <c r="R27" s="2" t="n">
        <v>0</v>
      </c>
      <c r="S27" s="2" t="n">
        <v>0</v>
      </c>
      <c r="T27" s="3" t="n">
        <f aca="false">0.35*O27+0.25*P27+0.2 * R27 + 0.1*Q27 + 0.1 * S27</f>
        <v>0.35</v>
      </c>
      <c r="U27" s="3" t="n">
        <f aca="false">H27*N27</f>
        <v>0.105</v>
      </c>
      <c r="V27" s="3" t="n">
        <f aca="false">H27*T27</f>
        <v>0.105</v>
      </c>
      <c r="W27" s="3" t="n">
        <f aca="false">N27*T27</f>
        <v>0.1225</v>
      </c>
      <c r="X27" s="3" t="n">
        <f aca="false">H27*N27*T27</f>
        <v>0.03675</v>
      </c>
    </row>
    <row r="28" customFormat="false" ht="13.8" hidden="false" customHeight="false" outlineLevel="0" collapsed="false">
      <c r="A28" s="1" t="n">
        <v>43525</v>
      </c>
      <c r="B28" s="2" t="n">
        <v>116143.321291955</v>
      </c>
      <c r="C28" s="2" t="n">
        <v>1</v>
      </c>
      <c r="D28" s="2" t="n">
        <v>0</v>
      </c>
      <c r="E28" s="2" t="n">
        <v>0</v>
      </c>
      <c r="F28" s="2" t="n">
        <v>1</v>
      </c>
      <c r="G28" s="2" t="n">
        <v>0</v>
      </c>
      <c r="H28" s="2" t="n">
        <f aca="false">0.35*E28 + 0.25*G28+0.2*C28+0.1 * D28 + 0.1 * F28</f>
        <v>0.3</v>
      </c>
      <c r="I28" s="2" t="n">
        <v>1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f aca="false">0.35*I28+0.25*K28+0.15*J28+0.15*L28+0.1 * M28</f>
        <v>0.35</v>
      </c>
      <c r="O28" s="2" t="n">
        <v>1</v>
      </c>
      <c r="P28" s="2" t="n">
        <v>0</v>
      </c>
      <c r="Q28" s="2" t="n">
        <v>0</v>
      </c>
      <c r="R28" s="2" t="n">
        <v>0</v>
      </c>
      <c r="S28" s="2" t="n">
        <v>0</v>
      </c>
      <c r="T28" s="3" t="n">
        <f aca="false">0.35*O28+0.25*P28+0.2 * R28 + 0.1*Q28 + 0.1 * S28</f>
        <v>0.35</v>
      </c>
      <c r="U28" s="3" t="n">
        <f aca="false">H28*N28</f>
        <v>0.105</v>
      </c>
      <c r="V28" s="3" t="n">
        <f aca="false">H28*T28</f>
        <v>0.105</v>
      </c>
      <c r="W28" s="3" t="n">
        <f aca="false">N28*T28</f>
        <v>0.1225</v>
      </c>
      <c r="X28" s="3" t="n">
        <f aca="false">H28*N28*T28</f>
        <v>0.03675</v>
      </c>
    </row>
    <row r="29" customFormat="false" ht="13.8" hidden="false" customHeight="false" outlineLevel="0" collapsed="false">
      <c r="A29" s="1" t="n">
        <v>43556</v>
      </c>
      <c r="B29" s="2" t="n">
        <v>112608.044201864</v>
      </c>
      <c r="C29" s="2" t="n">
        <v>1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f aca="false">0.35*E29 + 0.25*G29+0.2*C29+0.1 * D29 + 0.1 * F29</f>
        <v>0.2</v>
      </c>
      <c r="I29" s="2" t="n">
        <v>1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f aca="false">0.35*I29+0.25*K29+0.15*J29+0.15*L29+0.1 * M29</f>
        <v>0.35</v>
      </c>
      <c r="O29" s="2" t="n">
        <v>1</v>
      </c>
      <c r="P29" s="2" t="n">
        <v>0</v>
      </c>
      <c r="Q29" s="2" t="n">
        <v>0</v>
      </c>
      <c r="R29" s="2" t="n">
        <v>0</v>
      </c>
      <c r="S29" s="2" t="n">
        <v>0</v>
      </c>
      <c r="T29" s="3" t="n">
        <f aca="false">0.35*O29+0.25*P29+0.2 * R29 + 0.1*Q29 + 0.1 * S29</f>
        <v>0.35</v>
      </c>
      <c r="U29" s="3" t="n">
        <f aca="false">H29*N29</f>
        <v>0.07</v>
      </c>
      <c r="V29" s="3" t="n">
        <f aca="false">H29*T29</f>
        <v>0.07</v>
      </c>
      <c r="W29" s="3" t="n">
        <f aca="false">N29*T29</f>
        <v>0.1225</v>
      </c>
      <c r="X29" s="3" t="n">
        <f aca="false">H29*N29*T29</f>
        <v>0.0245</v>
      </c>
    </row>
    <row r="30" customFormat="false" ht="13.8" hidden="false" customHeight="false" outlineLevel="0" collapsed="false">
      <c r="A30" s="1" t="n">
        <v>43586</v>
      </c>
      <c r="B30" s="2" t="n">
        <v>108327.788967654</v>
      </c>
      <c r="C30" s="2" t="n">
        <v>1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f aca="false">0.35*E30 + 0.25*G30+0.2*C30+0.1 * D30 + 0.1 * F30</f>
        <v>0.2</v>
      </c>
      <c r="I30" s="2" t="n">
        <v>1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f aca="false">0.35*I30+0.25*K30+0.15*J30+0.15*L30+0.1 * M30</f>
        <v>0.35</v>
      </c>
      <c r="O30" s="2" t="n">
        <v>1</v>
      </c>
      <c r="P30" s="2" t="n">
        <v>0</v>
      </c>
      <c r="Q30" s="2" t="n">
        <v>0</v>
      </c>
      <c r="R30" s="2" t="n">
        <v>0</v>
      </c>
      <c r="S30" s="2" t="n">
        <v>0</v>
      </c>
      <c r="T30" s="3" t="n">
        <f aca="false">0.35*O30+0.25*P30+0.2 * R30 + 0.1*Q30 + 0.1 * S30</f>
        <v>0.35</v>
      </c>
      <c r="U30" s="3" t="n">
        <f aca="false">H30*N30</f>
        <v>0.07</v>
      </c>
      <c r="V30" s="3" t="n">
        <f aca="false">H30*T30</f>
        <v>0.07</v>
      </c>
      <c r="W30" s="3" t="n">
        <f aca="false">N30*T30</f>
        <v>0.1225</v>
      </c>
      <c r="X30" s="3" t="n">
        <f aca="false">H30*N30*T30</f>
        <v>0.0245</v>
      </c>
    </row>
    <row r="31" customFormat="false" ht="13.8" hidden="false" customHeight="false" outlineLevel="0" collapsed="false">
      <c r="A31" s="1" t="n">
        <v>43617</v>
      </c>
      <c r="B31" s="2" t="n">
        <v>105147.657577088</v>
      </c>
      <c r="C31" s="2" t="n">
        <v>1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f aca="false">0.35*E31 + 0.25*G31+0.2*C31+0.1 * D31 + 0.1 * F31</f>
        <v>0.2</v>
      </c>
      <c r="I31" s="2" t="n">
        <v>1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f aca="false">0.35*I31+0.25*K31+0.15*J31+0.15*L31+0.1 * M31</f>
        <v>0.35</v>
      </c>
      <c r="O31" s="2" t="n">
        <v>1</v>
      </c>
      <c r="P31" s="2" t="n">
        <v>0</v>
      </c>
      <c r="Q31" s="2" t="n">
        <v>0</v>
      </c>
      <c r="R31" s="2" t="n">
        <v>0</v>
      </c>
      <c r="S31" s="2" t="n">
        <v>0</v>
      </c>
      <c r="T31" s="3" t="n">
        <f aca="false">0.35*O31+0.25*P31+0.2 * R31 + 0.1*Q31 + 0.1 * S31</f>
        <v>0.35</v>
      </c>
      <c r="U31" s="3" t="n">
        <f aca="false">H31*N31</f>
        <v>0.07</v>
      </c>
      <c r="V31" s="3" t="n">
        <f aca="false">H31*T31</f>
        <v>0.07</v>
      </c>
      <c r="W31" s="3" t="n">
        <f aca="false">N31*T31</f>
        <v>0.1225</v>
      </c>
      <c r="X31" s="3" t="n">
        <f aca="false">H31*N31*T31</f>
        <v>0.0245</v>
      </c>
    </row>
    <row r="32" customFormat="false" ht="13.8" hidden="false" customHeight="false" outlineLevel="0" collapsed="false">
      <c r="A32" s="1" t="n">
        <v>43647</v>
      </c>
      <c r="B32" s="2" t="n">
        <v>98557.476904843</v>
      </c>
      <c r="C32" s="2" t="n">
        <v>1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f aca="false">0.35*E32 + 0.25*G32+0.2*C32+0.1 * D32 + 0.1 * F32</f>
        <v>0.2</v>
      </c>
      <c r="I32" s="2" t="n">
        <v>1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f aca="false">0.35*I32+0.25*K32+0.15*J32+0.15*L32+0.1 * M32</f>
        <v>0.35</v>
      </c>
      <c r="O32" s="2" t="n">
        <v>1</v>
      </c>
      <c r="P32" s="2" t="n">
        <v>0</v>
      </c>
      <c r="Q32" s="2" t="n">
        <v>0</v>
      </c>
      <c r="R32" s="2" t="n">
        <v>0</v>
      </c>
      <c r="S32" s="2" t="n">
        <v>0</v>
      </c>
      <c r="T32" s="3" t="n">
        <f aca="false">0.35*O32+0.25*P32+0.2 * R32 + 0.1*Q32 + 0.1 * S32</f>
        <v>0.35</v>
      </c>
      <c r="U32" s="3" t="n">
        <f aca="false">H32*N32</f>
        <v>0.07</v>
      </c>
      <c r="V32" s="3" t="n">
        <f aca="false">H32*T32</f>
        <v>0.07</v>
      </c>
      <c r="W32" s="3" t="n">
        <f aca="false">N32*T32</f>
        <v>0.1225</v>
      </c>
      <c r="X32" s="3" t="n">
        <f aca="false">H32*N32*T32</f>
        <v>0.0245</v>
      </c>
    </row>
    <row r="33" customFormat="false" ht="13.8" hidden="false" customHeight="false" outlineLevel="0" collapsed="false">
      <c r="A33" s="1" t="n">
        <v>43678</v>
      </c>
      <c r="B33" s="2" t="n">
        <v>92297.5244818785</v>
      </c>
      <c r="C33" s="2" t="n">
        <v>1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f aca="false">0.35*E33 + 0.25*G33+0.2*C33+0.1 * D33 + 0.1 * F33</f>
        <v>0.2</v>
      </c>
      <c r="I33" s="2" t="n">
        <v>1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f aca="false">0.35*I33+0.25*K33+0.15*J33+0.15*L33+0.1 * M33</f>
        <v>0.35</v>
      </c>
      <c r="O33" s="2" t="n">
        <v>1</v>
      </c>
      <c r="P33" s="2" t="n">
        <v>0</v>
      </c>
      <c r="Q33" s="2" t="n">
        <v>0</v>
      </c>
      <c r="R33" s="2" t="n">
        <v>0</v>
      </c>
      <c r="S33" s="2" t="n">
        <v>0</v>
      </c>
      <c r="T33" s="3" t="n">
        <f aca="false">0.35*O33+0.25*P33+0.2 * R33 + 0.1*Q33 + 0.1 * S33</f>
        <v>0.35</v>
      </c>
      <c r="U33" s="3" t="n">
        <f aca="false">H33*N33</f>
        <v>0.07</v>
      </c>
      <c r="V33" s="3" t="n">
        <f aca="false">H33*T33</f>
        <v>0.07</v>
      </c>
      <c r="W33" s="3" t="n">
        <f aca="false">N33*T33</f>
        <v>0.1225</v>
      </c>
      <c r="X33" s="3" t="n">
        <f aca="false">H33*N33*T33</f>
        <v>0.0245</v>
      </c>
    </row>
    <row r="34" customFormat="false" ht="13.8" hidden="false" customHeight="false" outlineLevel="0" collapsed="false">
      <c r="A34" s="1" t="n">
        <v>43709</v>
      </c>
      <c r="B34" s="2" t="n">
        <v>90613.0381339729</v>
      </c>
      <c r="C34" s="2" t="n">
        <v>1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f aca="false">0.35*E34 + 0.25*G34+0.2*C34+0.1 * D34 + 0.1 * F34</f>
        <v>0.2</v>
      </c>
      <c r="I34" s="2" t="n">
        <v>1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f aca="false">0.35*I34+0.25*K34+0.15*J34+0.15*L34+0.1 * M34</f>
        <v>0.35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0</v>
      </c>
      <c r="T34" s="3" t="n">
        <f aca="false">0.35*O34+0.25*P34+0.2 * R34 + 0.1*Q34 + 0.1 * S34</f>
        <v>0.35</v>
      </c>
      <c r="U34" s="3" t="n">
        <f aca="false">H34*N34</f>
        <v>0.07</v>
      </c>
      <c r="V34" s="3" t="n">
        <f aca="false">H34*T34</f>
        <v>0.07</v>
      </c>
      <c r="W34" s="3" t="n">
        <f aca="false">N34*T34</f>
        <v>0.1225</v>
      </c>
      <c r="X34" s="3" t="n">
        <f aca="false">H34*N34*T34</f>
        <v>0.0245</v>
      </c>
    </row>
    <row r="35" customFormat="false" ht="13.8" hidden="false" customHeight="false" outlineLevel="0" collapsed="false">
      <c r="A35" s="1" t="n">
        <v>43739</v>
      </c>
      <c r="B35" s="2" t="n">
        <v>89768.3107610669</v>
      </c>
      <c r="C35" s="2" t="n">
        <v>1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f aca="false">0.35*E35 + 0.25*G35+0.2*C35+0.1 * D35 + 0.1 * F35</f>
        <v>0.2</v>
      </c>
      <c r="I35" s="2" t="n">
        <v>1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f aca="false">0.35*I35+0.25*K35+0.15*J35+0.15*L35+0.1 * M35</f>
        <v>0.35</v>
      </c>
      <c r="O35" s="2" t="n">
        <v>1</v>
      </c>
      <c r="P35" s="2" t="n">
        <v>0</v>
      </c>
      <c r="Q35" s="2" t="n">
        <v>0</v>
      </c>
      <c r="R35" s="2" t="n">
        <v>0</v>
      </c>
      <c r="S35" s="2" t="n">
        <v>0</v>
      </c>
      <c r="T35" s="3" t="n">
        <f aca="false">0.35*O35+0.25*P35+0.2 * R35 + 0.1*Q35 + 0.1 * S35</f>
        <v>0.35</v>
      </c>
      <c r="U35" s="3" t="n">
        <f aca="false">H35*N35</f>
        <v>0.07</v>
      </c>
      <c r="V35" s="3" t="n">
        <f aca="false">H35*T35</f>
        <v>0.07</v>
      </c>
      <c r="W35" s="3" t="n">
        <f aca="false">N35*T35</f>
        <v>0.1225</v>
      </c>
      <c r="X35" s="3" t="n">
        <f aca="false">H35*N35*T35</f>
        <v>0.0245</v>
      </c>
    </row>
    <row r="36" customFormat="false" ht="13.8" hidden="false" customHeight="false" outlineLevel="0" collapsed="false">
      <c r="A36" s="1" t="n">
        <v>43770</v>
      </c>
      <c r="B36" s="2" t="n">
        <v>85586.3050999718</v>
      </c>
      <c r="C36" s="2" t="n">
        <v>1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f aca="false">0.35*E36 + 0.25*G36+0.2*C36+0.1 * D36 + 0.1 * F36</f>
        <v>0.2</v>
      </c>
      <c r="I36" s="2" t="n">
        <v>1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f aca="false">0.35*I36+0.25*K36+0.15*J36+0.15*L36+0.1 * M36</f>
        <v>0.35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0</v>
      </c>
      <c r="T36" s="3" t="n">
        <f aca="false">0.35*O36+0.25*P36+0.2 * R36 + 0.1*Q36 + 0.1 * S36</f>
        <v>0.35</v>
      </c>
      <c r="U36" s="3" t="n">
        <f aca="false">H36*N36</f>
        <v>0.07</v>
      </c>
      <c r="V36" s="3" t="n">
        <f aca="false">H36*T36</f>
        <v>0.07</v>
      </c>
      <c r="W36" s="3" t="n">
        <f aca="false">N36*T36</f>
        <v>0.1225</v>
      </c>
      <c r="X36" s="3" t="n">
        <f aca="false">H36*N36*T36</f>
        <v>0.0245</v>
      </c>
    </row>
    <row r="37" customFormat="false" ht="13.8" hidden="false" customHeight="false" outlineLevel="0" collapsed="false">
      <c r="A37" s="1" t="n">
        <v>43800</v>
      </c>
      <c r="B37" s="2" t="n">
        <v>83369.6087710348</v>
      </c>
      <c r="C37" s="2" t="n">
        <v>1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f aca="false">0.35*E37 + 0.25*G37+0.2*C37+0.1 * D37 + 0.1 * F37</f>
        <v>0.2</v>
      </c>
      <c r="I37" s="2" t="n">
        <v>1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f aca="false">0.35*I37+0.25*K37+0.15*J37+0.15*L37+0.1 * M37</f>
        <v>0.35</v>
      </c>
      <c r="O37" s="2" t="n">
        <v>1</v>
      </c>
      <c r="P37" s="2" t="n">
        <v>0</v>
      </c>
      <c r="Q37" s="2" t="n">
        <v>0</v>
      </c>
      <c r="R37" s="2" t="n">
        <v>0</v>
      </c>
      <c r="S37" s="2" t="n">
        <v>0</v>
      </c>
      <c r="T37" s="3" t="n">
        <f aca="false">0.35*O37+0.25*P37+0.2 * R37 + 0.1*Q37 + 0.1 * S37</f>
        <v>0.35</v>
      </c>
      <c r="U37" s="3" t="n">
        <f aca="false">H37*N37</f>
        <v>0.07</v>
      </c>
      <c r="V37" s="3" t="n">
        <f aca="false">H37*T37</f>
        <v>0.07</v>
      </c>
      <c r="W37" s="3" t="n">
        <f aca="false">N37*T37</f>
        <v>0.1225</v>
      </c>
      <c r="X37" s="3" t="n">
        <f aca="false">H37*N37*T37</f>
        <v>0.0245</v>
      </c>
    </row>
    <row r="38" customFormat="false" ht="13.8" hidden="false" customHeight="false" outlineLevel="0" collapsed="false">
      <c r="A38" s="1" t="n">
        <v>43831</v>
      </c>
      <c r="B38" s="2" t="n">
        <v>84515.0292508695</v>
      </c>
      <c r="C38" s="2" t="n">
        <v>1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f aca="false">0.35*E38 + 0.25*G38+0.2*C38+0.1 * D38 + 0.1 * F38</f>
        <v>0.2</v>
      </c>
      <c r="I38" s="2" t="n">
        <v>1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f aca="false">0.35*I38+0.25*K38+0.15*J38+0.15*L38+0.1 * M38</f>
        <v>0.35</v>
      </c>
      <c r="O38" s="2" t="n">
        <v>1</v>
      </c>
      <c r="P38" s="2" t="n">
        <v>1</v>
      </c>
      <c r="Q38" s="2" t="n">
        <v>0</v>
      </c>
      <c r="R38" s="2" t="n">
        <v>0</v>
      </c>
      <c r="S38" s="2" t="n">
        <v>0</v>
      </c>
      <c r="T38" s="3" t="n">
        <f aca="false">0.35*O38+0.25*P38+0.2 * R38 + 0.1*Q38 + 0.1 * S38</f>
        <v>0.6</v>
      </c>
      <c r="U38" s="3" t="n">
        <f aca="false">H38*N38</f>
        <v>0.07</v>
      </c>
      <c r="V38" s="3" t="n">
        <f aca="false">H38*T38</f>
        <v>0.12</v>
      </c>
      <c r="W38" s="3" t="n">
        <f aca="false">N38*T38</f>
        <v>0.21</v>
      </c>
      <c r="X38" s="3" t="n">
        <f aca="false">H38*N38*T38</f>
        <v>0.042</v>
      </c>
    </row>
    <row r="39" customFormat="false" ht="13.8" hidden="false" customHeight="false" outlineLevel="0" collapsed="false">
      <c r="A39" s="1" t="n">
        <v>43862</v>
      </c>
      <c r="B39" s="2" t="n">
        <v>84090.140102</v>
      </c>
      <c r="C39" s="2" t="n">
        <v>1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f aca="false">0.35*E39 + 0.25*G39+0.2*C39+0.1 * D39 + 0.1 * F39</f>
        <v>0.2</v>
      </c>
      <c r="I39" s="2" t="n">
        <v>1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f aca="false">0.35*I39+0.25*K39+0.15*J39+0.15*L39+0.1 * M39</f>
        <v>0.35</v>
      </c>
      <c r="O39" s="2" t="n">
        <v>1</v>
      </c>
      <c r="P39" s="2" t="n">
        <v>1</v>
      </c>
      <c r="Q39" s="2" t="n">
        <v>0</v>
      </c>
      <c r="R39" s="2" t="n">
        <v>0</v>
      </c>
      <c r="S39" s="2" t="n">
        <v>0</v>
      </c>
      <c r="T39" s="3" t="n">
        <f aca="false">0.35*O39+0.25*P39+0.2 * R39 + 0.1*Q39 + 0.1 * S39</f>
        <v>0.6</v>
      </c>
      <c r="U39" s="3" t="n">
        <f aca="false">H39*N39</f>
        <v>0.07</v>
      </c>
      <c r="V39" s="3" t="n">
        <f aca="false">H39*T39</f>
        <v>0.12</v>
      </c>
      <c r="W39" s="3" t="n">
        <f aca="false">N39*T39</f>
        <v>0.21</v>
      </c>
      <c r="X39" s="3" t="n">
        <f aca="false">H39*N39*T39</f>
        <v>0.042</v>
      </c>
    </row>
    <row r="40" customFormat="false" ht="13.8" hidden="false" customHeight="false" outlineLevel="0" collapsed="false">
      <c r="A40" s="1" t="n">
        <v>43891</v>
      </c>
      <c r="B40" s="2" t="n">
        <v>84763.6425136363</v>
      </c>
      <c r="C40" s="2" t="n">
        <v>1</v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f aca="false">0.35*E40 + 0.25*G40+0.2*C40+0.1 * D40 + 0.1 * F40</f>
        <v>0.3</v>
      </c>
      <c r="I40" s="2" t="n">
        <v>1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f aca="false">0.35*I40+0.25*K40+0.15*J40+0.15*L40+0.1 * M40</f>
        <v>0.35</v>
      </c>
      <c r="O40" s="2" t="n">
        <v>1</v>
      </c>
      <c r="P40" s="2" t="n">
        <v>1</v>
      </c>
      <c r="Q40" s="2" t="n">
        <v>0</v>
      </c>
      <c r="R40" s="2" t="n">
        <v>0</v>
      </c>
      <c r="S40" s="2" t="n">
        <v>0</v>
      </c>
      <c r="T40" s="3" t="n">
        <f aca="false">0.35*O40+0.25*P40+0.2 * R40 + 0.1*Q40 + 0.1 * S40</f>
        <v>0.6</v>
      </c>
      <c r="U40" s="3" t="n">
        <f aca="false">H40*N40</f>
        <v>0.105</v>
      </c>
      <c r="V40" s="3" t="n">
        <f aca="false">H40*T40</f>
        <v>0.18</v>
      </c>
      <c r="W40" s="3" t="n">
        <f aca="false">N40*T40</f>
        <v>0.21</v>
      </c>
      <c r="X40" s="3" t="n">
        <f aca="false">H40*N40*T40</f>
        <v>0.063</v>
      </c>
    </row>
    <row r="41" customFormat="false" ht="13.8" hidden="false" customHeight="false" outlineLevel="0" collapsed="false">
      <c r="A41" s="1" t="n">
        <v>43922</v>
      </c>
      <c r="B41" s="2" t="n">
        <v>80179.8838513636</v>
      </c>
      <c r="C41" s="2" t="n">
        <v>1</v>
      </c>
      <c r="D41" s="2" t="n">
        <v>1</v>
      </c>
      <c r="E41" s="2" t="n">
        <v>0</v>
      </c>
      <c r="F41" s="2" t="n">
        <v>0</v>
      </c>
      <c r="G41" s="2" t="n">
        <v>0</v>
      </c>
      <c r="H41" s="2" t="n">
        <f aca="false">0.35*E41 + 0.25*G41+0.2*C41+0.1 * D41 + 0.1 * F41</f>
        <v>0.3</v>
      </c>
      <c r="I41" s="2" t="n">
        <v>1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f aca="false">0.35*I41+0.25*K41+0.15*J41+0.15*L41+0.1 * M41</f>
        <v>0.35</v>
      </c>
      <c r="O41" s="2" t="n">
        <v>1</v>
      </c>
      <c r="P41" s="2" t="n">
        <v>1</v>
      </c>
      <c r="Q41" s="2" t="n">
        <v>0</v>
      </c>
      <c r="R41" s="2" t="n">
        <v>0</v>
      </c>
      <c r="S41" s="2" t="n">
        <v>0</v>
      </c>
      <c r="T41" s="3" t="n">
        <f aca="false">0.35*O41+0.25*P41+0.2 * R41 + 0.1*Q41 + 0.1 * S41</f>
        <v>0.6</v>
      </c>
      <c r="U41" s="3" t="n">
        <f aca="false">H41*N41</f>
        <v>0.105</v>
      </c>
      <c r="V41" s="3" t="n">
        <f aca="false">H41*T41</f>
        <v>0.18</v>
      </c>
      <c r="W41" s="3" t="n">
        <f aca="false">N41*T41</f>
        <v>0.21</v>
      </c>
      <c r="X41" s="3" t="n">
        <f aca="false">H41*N41*T41</f>
        <v>0.063</v>
      </c>
    </row>
    <row r="42" customFormat="false" ht="13.8" hidden="false" customHeight="false" outlineLevel="0" collapsed="false">
      <c r="A42" s="1" t="n">
        <v>43952</v>
      </c>
      <c r="B42" s="2" t="n">
        <v>76716.0680985714</v>
      </c>
      <c r="C42" s="2" t="n">
        <v>1</v>
      </c>
      <c r="D42" s="2" t="n">
        <v>1</v>
      </c>
      <c r="E42" s="2" t="n">
        <v>0</v>
      </c>
      <c r="F42" s="2" t="n">
        <v>0</v>
      </c>
      <c r="G42" s="2" t="n">
        <v>0</v>
      </c>
      <c r="H42" s="2" t="n">
        <f aca="false">0.35*E42 + 0.25*G42+0.2*C42+0.1 * D42 + 0.1 * F42</f>
        <v>0.3</v>
      </c>
      <c r="I42" s="2" t="n">
        <v>1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f aca="false">0.35*I42+0.25*K42+0.15*J42+0.15*L42+0.1 * M42</f>
        <v>0.35</v>
      </c>
      <c r="O42" s="2" t="n">
        <v>1</v>
      </c>
      <c r="P42" s="2" t="n">
        <v>1</v>
      </c>
      <c r="Q42" s="2" t="n">
        <v>0</v>
      </c>
      <c r="R42" s="2" t="n">
        <v>0</v>
      </c>
      <c r="S42" s="2" t="n">
        <v>0</v>
      </c>
      <c r="T42" s="3" t="n">
        <f aca="false">0.35*O42+0.25*P42+0.2 * R42 + 0.1*Q42 + 0.1 * S42</f>
        <v>0.6</v>
      </c>
      <c r="U42" s="3" t="n">
        <f aca="false">H42*N42</f>
        <v>0.105</v>
      </c>
      <c r="V42" s="3" t="n">
        <f aca="false">H42*T42</f>
        <v>0.18</v>
      </c>
      <c r="W42" s="3" t="n">
        <f aca="false">N42*T42</f>
        <v>0.21</v>
      </c>
      <c r="X42" s="3" t="n">
        <f aca="false">H42*N42*T42</f>
        <v>0.063</v>
      </c>
    </row>
    <row r="43" customFormat="false" ht="13.8" hidden="false" customHeight="false" outlineLevel="0" collapsed="false">
      <c r="A43" s="1" t="n">
        <v>43983</v>
      </c>
      <c r="B43" s="2" t="n">
        <v>72682.3447254545</v>
      </c>
      <c r="C43" s="2" t="n">
        <v>1</v>
      </c>
      <c r="D43" s="2" t="n">
        <v>1</v>
      </c>
      <c r="E43" s="2" t="n">
        <v>0</v>
      </c>
      <c r="F43" s="2" t="n">
        <v>0</v>
      </c>
      <c r="G43" s="2" t="n">
        <v>0</v>
      </c>
      <c r="H43" s="2" t="n">
        <f aca="false">0.35*E43 + 0.25*G43+0.2*C43+0.1 * D43 + 0.1 * F43</f>
        <v>0.3</v>
      </c>
      <c r="I43" s="2" t="n">
        <v>1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f aca="false">0.35*I43+0.25*K43+0.15*J43+0.15*L43+0.1 * M43</f>
        <v>0.35</v>
      </c>
      <c r="O43" s="2" t="n">
        <v>1</v>
      </c>
      <c r="P43" s="2" t="n">
        <v>1</v>
      </c>
      <c r="Q43" s="2" t="n">
        <v>0</v>
      </c>
      <c r="R43" s="2" t="n">
        <v>0</v>
      </c>
      <c r="S43" s="2" t="n">
        <v>0</v>
      </c>
      <c r="T43" s="3" t="n">
        <f aca="false">0.35*O43+0.25*P43+0.2 * R43 + 0.1*Q43 + 0.1 * S43</f>
        <v>0.6</v>
      </c>
      <c r="U43" s="3" t="n">
        <f aca="false">H43*N43</f>
        <v>0.105</v>
      </c>
      <c r="V43" s="3" t="n">
        <f aca="false">H43*T43</f>
        <v>0.18</v>
      </c>
      <c r="W43" s="3" t="n">
        <f aca="false">N43*T43</f>
        <v>0.21</v>
      </c>
      <c r="X43" s="3" t="n">
        <f aca="false">H43*N43*T43</f>
        <v>0.063</v>
      </c>
    </row>
    <row r="44" customFormat="false" ht="13.8" hidden="false" customHeight="false" outlineLevel="0" collapsed="false">
      <c r="A44" s="1" t="n">
        <v>44013</v>
      </c>
      <c r="B44" s="2" t="n">
        <v>67930.8859465217</v>
      </c>
      <c r="C44" s="2" t="n">
        <v>1</v>
      </c>
      <c r="D44" s="2" t="n">
        <v>1</v>
      </c>
      <c r="E44" s="2" t="n">
        <v>0</v>
      </c>
      <c r="F44" s="2" t="n">
        <v>0</v>
      </c>
      <c r="G44" s="2" t="n">
        <v>0</v>
      </c>
      <c r="H44" s="2" t="n">
        <f aca="false">0.35*E44 + 0.25*G44+0.2*C44+0.1 * D44 + 0.1 * F44</f>
        <v>0.3</v>
      </c>
      <c r="I44" s="2" t="n">
        <v>1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f aca="false">0.35*I44+0.25*K44+0.15*J44+0.15*L44+0.1 * M44</f>
        <v>0.35</v>
      </c>
      <c r="O44" s="2" t="n">
        <v>1</v>
      </c>
      <c r="P44" s="2" t="n">
        <v>1</v>
      </c>
      <c r="Q44" s="2" t="n">
        <v>0</v>
      </c>
      <c r="R44" s="2" t="n">
        <v>0</v>
      </c>
      <c r="S44" s="2" t="n">
        <v>0</v>
      </c>
      <c r="T44" s="3" t="n">
        <f aca="false">0.35*O44+0.25*P44+0.2 * R44 + 0.1*Q44 + 0.1 * S44</f>
        <v>0.6</v>
      </c>
      <c r="U44" s="3" t="n">
        <f aca="false">H44*N44</f>
        <v>0.105</v>
      </c>
      <c r="V44" s="3" t="n">
        <f aca="false">H44*T44</f>
        <v>0.18</v>
      </c>
      <c r="W44" s="3" t="n">
        <f aca="false">N44*T44</f>
        <v>0.21</v>
      </c>
      <c r="X44" s="3" t="n">
        <f aca="false">H44*N44*T44</f>
        <v>0.063</v>
      </c>
    </row>
    <row r="45" customFormat="false" ht="13.8" hidden="false" customHeight="false" outlineLevel="0" collapsed="false">
      <c r="A45" s="1" t="n">
        <v>44044</v>
      </c>
      <c r="B45" s="2" t="n">
        <v>68554.1571704761</v>
      </c>
      <c r="C45" s="2" t="n">
        <v>1</v>
      </c>
      <c r="D45" s="2" t="n">
        <v>1</v>
      </c>
      <c r="E45" s="2" t="n">
        <v>0</v>
      </c>
      <c r="F45" s="2" t="n">
        <v>0</v>
      </c>
      <c r="G45" s="2" t="n">
        <v>0</v>
      </c>
      <c r="H45" s="2" t="n">
        <f aca="false">0.35*E45 + 0.25*G45+0.2*C45+0.1 * D45 + 0.1 * F45</f>
        <v>0.3</v>
      </c>
      <c r="I45" s="2" t="n">
        <v>1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f aca="false">0.35*I45+0.25*K45+0.15*J45+0.15*L45+0.1 * M45</f>
        <v>0.35</v>
      </c>
      <c r="O45" s="2" t="n">
        <v>1</v>
      </c>
      <c r="P45" s="2" t="n">
        <v>1</v>
      </c>
      <c r="Q45" s="2" t="n">
        <v>0</v>
      </c>
      <c r="R45" s="2" t="n">
        <v>0</v>
      </c>
      <c r="S45" s="2" t="n">
        <v>0</v>
      </c>
      <c r="T45" s="3" t="n">
        <f aca="false">0.35*O45+0.25*P45+0.2 * R45 + 0.1*Q45 + 0.1 * S45</f>
        <v>0.6</v>
      </c>
      <c r="U45" s="3" t="n">
        <f aca="false">H45*N45</f>
        <v>0.105</v>
      </c>
      <c r="V45" s="3" t="n">
        <f aca="false">H45*T45</f>
        <v>0.18</v>
      </c>
      <c r="W45" s="3" t="n">
        <f aca="false">N45*T45</f>
        <v>0.21</v>
      </c>
      <c r="X45" s="3" t="n">
        <f aca="false">H45*N45*T45</f>
        <v>0.063</v>
      </c>
    </row>
    <row r="46" customFormat="false" ht="13.8" hidden="false" customHeight="false" outlineLevel="0" collapsed="false">
      <c r="A46" s="1" t="n">
        <v>44075</v>
      </c>
      <c r="B46" s="2" t="n">
        <v>69236.4083995454</v>
      </c>
      <c r="C46" s="2" t="n">
        <v>1</v>
      </c>
      <c r="D46" s="2" t="n">
        <v>1</v>
      </c>
      <c r="E46" s="2" t="n">
        <v>0</v>
      </c>
      <c r="F46" s="2" t="n">
        <v>0</v>
      </c>
      <c r="G46" s="2" t="n">
        <v>0</v>
      </c>
      <c r="H46" s="2" t="n">
        <f aca="false">0.35*E46 + 0.25*G46+0.2*C46+0.1 * D46 + 0.1 * F46</f>
        <v>0.3</v>
      </c>
      <c r="I46" s="2" t="n">
        <v>1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f aca="false">0.35*I46+0.25*K46+0.15*J46+0.15*L46+0.1 * M46</f>
        <v>0.35</v>
      </c>
      <c r="O46" s="2" t="n">
        <v>1</v>
      </c>
      <c r="P46" s="2" t="n">
        <v>1</v>
      </c>
      <c r="Q46" s="2" t="n">
        <v>0</v>
      </c>
      <c r="R46" s="2" t="n">
        <v>0</v>
      </c>
      <c r="S46" s="2" t="n">
        <v>0</v>
      </c>
      <c r="T46" s="3" t="n">
        <f aca="false">0.35*O46+0.25*P46+0.2 * R46 + 0.1*Q46 + 0.1 * S46</f>
        <v>0.6</v>
      </c>
      <c r="U46" s="3" t="n">
        <f aca="false">H46*N46</f>
        <v>0.105</v>
      </c>
      <c r="V46" s="3" t="n">
        <f aca="false">H46*T46</f>
        <v>0.18</v>
      </c>
      <c r="W46" s="3" t="n">
        <f aca="false">N46*T46</f>
        <v>0.21</v>
      </c>
      <c r="X46" s="3" t="n">
        <f aca="false">H46*N46*T46</f>
        <v>0.063</v>
      </c>
    </row>
    <row r="47" customFormat="false" ht="13.8" hidden="false" customHeight="false" outlineLevel="0" collapsed="false">
      <c r="A47" s="1" t="n">
        <v>44105</v>
      </c>
      <c r="B47" s="2" t="n">
        <v>69367.4617345454</v>
      </c>
      <c r="C47" s="2" t="n">
        <v>1</v>
      </c>
      <c r="D47" s="2" t="n">
        <v>1</v>
      </c>
      <c r="E47" s="2" t="n">
        <v>0</v>
      </c>
      <c r="F47" s="2" t="n">
        <v>0</v>
      </c>
      <c r="G47" s="2" t="n">
        <v>0</v>
      </c>
      <c r="H47" s="2" t="n">
        <f aca="false">0.35*E47 + 0.25*G47+0.2*C47+0.1 * D47 + 0.1 * F47</f>
        <v>0.3</v>
      </c>
      <c r="I47" s="2" t="n">
        <v>1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f aca="false">0.35*I47+0.25*K47+0.15*J47+0.15*L47+0.1 * M47</f>
        <v>0.35</v>
      </c>
      <c r="O47" s="2" t="n">
        <v>1</v>
      </c>
      <c r="P47" s="2" t="n">
        <v>1</v>
      </c>
      <c r="Q47" s="2" t="n">
        <v>0</v>
      </c>
      <c r="R47" s="2" t="n">
        <v>0</v>
      </c>
      <c r="S47" s="2" t="n">
        <v>0</v>
      </c>
      <c r="T47" s="3" t="n">
        <f aca="false">0.35*O47+0.25*P47+0.2 * R47 + 0.1*Q47 + 0.1 * S47</f>
        <v>0.6</v>
      </c>
      <c r="U47" s="3" t="n">
        <f aca="false">H47*N47</f>
        <v>0.105</v>
      </c>
      <c r="V47" s="3" t="n">
        <f aca="false">H47*T47</f>
        <v>0.18</v>
      </c>
      <c r="W47" s="3" t="n">
        <f aca="false">N47*T47</f>
        <v>0.21</v>
      </c>
      <c r="X47" s="3" t="n">
        <f aca="false">H47*N47*T47</f>
        <v>0.063</v>
      </c>
    </row>
    <row r="48" customFormat="false" ht="13.8" hidden="false" customHeight="false" outlineLevel="0" collapsed="false">
      <c r="A48" s="1" t="n">
        <v>44136</v>
      </c>
      <c r="B48" s="2" t="n">
        <v>70408.8687009523</v>
      </c>
      <c r="C48" s="2" t="n">
        <v>1</v>
      </c>
      <c r="D48" s="2" t="n">
        <v>1</v>
      </c>
      <c r="E48" s="2" t="n">
        <v>0</v>
      </c>
      <c r="F48" s="2" t="n">
        <v>0</v>
      </c>
      <c r="G48" s="2" t="n">
        <v>0</v>
      </c>
      <c r="H48" s="2" t="n">
        <f aca="false">0.35*E48 + 0.25*G48+0.2*C48+0.1 * D48 + 0.1 * F48</f>
        <v>0.3</v>
      </c>
      <c r="I48" s="2" t="n">
        <v>1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f aca="false">0.35*I48+0.25*K48+0.15*J48+0.15*L48+0.1 * M48</f>
        <v>0.35</v>
      </c>
      <c r="O48" s="2" t="n">
        <v>1</v>
      </c>
      <c r="P48" s="2" t="n">
        <v>1</v>
      </c>
      <c r="Q48" s="2" t="n">
        <v>0</v>
      </c>
      <c r="R48" s="2" t="n">
        <v>0</v>
      </c>
      <c r="S48" s="2" t="n">
        <v>0</v>
      </c>
      <c r="T48" s="3" t="n">
        <f aca="false">0.35*O48+0.25*P48+0.2 * R48 + 0.1*Q48 + 0.1 * S48</f>
        <v>0.6</v>
      </c>
      <c r="U48" s="3" t="n">
        <f aca="false">H48*N48</f>
        <v>0.105</v>
      </c>
      <c r="V48" s="3" t="n">
        <f aca="false">H48*T48</f>
        <v>0.18</v>
      </c>
      <c r="W48" s="3" t="n">
        <f aca="false">N48*T48</f>
        <v>0.21</v>
      </c>
      <c r="X48" s="3" t="n">
        <f aca="false">H48*N48*T48</f>
        <v>0.063</v>
      </c>
    </row>
    <row r="49" customFormat="false" ht="13.8" hidden="false" customHeight="false" outlineLevel="0" collapsed="false">
      <c r="A49" s="1" t="n">
        <v>44166</v>
      </c>
      <c r="B49" s="2" t="n">
        <v>71683.1357530434</v>
      </c>
      <c r="C49" s="2" t="n">
        <v>1</v>
      </c>
      <c r="D49" s="2" t="n">
        <v>1</v>
      </c>
      <c r="E49" s="2" t="n">
        <v>0</v>
      </c>
      <c r="F49" s="2" t="n">
        <v>0</v>
      </c>
      <c r="G49" s="2" t="n">
        <v>0</v>
      </c>
      <c r="H49" s="2" t="n">
        <f aca="false">0.35*E49 + 0.25*G49+0.2*C49+0.1 * D49 + 0.1 * F49</f>
        <v>0.3</v>
      </c>
      <c r="I49" s="2" t="n">
        <v>1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f aca="false">0.35*I49+0.25*K49+0.15*J49+0.15*L49+0.1 * M49</f>
        <v>0.35</v>
      </c>
      <c r="O49" s="2" t="n">
        <v>1</v>
      </c>
      <c r="P49" s="2" t="n">
        <v>1</v>
      </c>
      <c r="Q49" s="2" t="n">
        <v>0</v>
      </c>
      <c r="R49" s="2" t="n">
        <v>0</v>
      </c>
      <c r="S49" s="2" t="n">
        <v>0</v>
      </c>
      <c r="T49" s="3" t="n">
        <f aca="false">0.35*O49+0.25*P49+0.2 * R49 + 0.1*Q49 + 0.1 * S49</f>
        <v>0.6</v>
      </c>
      <c r="U49" s="3" t="n">
        <f aca="false">H49*N49</f>
        <v>0.105</v>
      </c>
      <c r="V49" s="3" t="n">
        <f aca="false">H49*T49</f>
        <v>0.18</v>
      </c>
      <c r="W49" s="3" t="n">
        <f aca="false">N49*T49</f>
        <v>0.21</v>
      </c>
      <c r="X49" s="3" t="n">
        <f aca="false">H49*N49*T49</f>
        <v>0.063</v>
      </c>
    </row>
    <row r="50" customFormat="false" ht="13.8" hidden="false" customHeight="false" outlineLevel="0" collapsed="false">
      <c r="A50" s="1" t="n">
        <v>44197</v>
      </c>
      <c r="B50" s="2" t="n">
        <v>76313.4347528571</v>
      </c>
      <c r="C50" s="2" t="n">
        <v>0</v>
      </c>
      <c r="D50" s="2" t="n">
        <v>1</v>
      </c>
      <c r="E50" s="2" t="n">
        <v>0</v>
      </c>
      <c r="F50" s="2" t="n">
        <v>0</v>
      </c>
      <c r="G50" s="2" t="n">
        <v>0</v>
      </c>
      <c r="H50" s="2" t="n">
        <f aca="false">0.35*E50 + 0.25*G50+0.2*C50+0.1 * D50 + 0.1 * F50</f>
        <v>0.1</v>
      </c>
      <c r="I50" s="2" t="n">
        <v>1</v>
      </c>
      <c r="J50" s="2" t="n">
        <v>1</v>
      </c>
      <c r="K50" s="2" t="n">
        <v>0</v>
      </c>
      <c r="L50" s="2" t="n">
        <v>0</v>
      </c>
      <c r="M50" s="2" t="n">
        <v>0</v>
      </c>
      <c r="N50" s="2" t="n">
        <f aca="false">0.35*I50+0.25*K50+0.15*J50+0.15*L50+0.1 * M50</f>
        <v>0.5</v>
      </c>
      <c r="O50" s="2" t="n">
        <v>1</v>
      </c>
      <c r="P50" s="2" t="n">
        <v>1</v>
      </c>
      <c r="Q50" s="2" t="n">
        <v>0</v>
      </c>
      <c r="R50" s="2" t="n">
        <v>0</v>
      </c>
      <c r="S50" s="2" t="n">
        <v>0</v>
      </c>
      <c r="T50" s="3" t="n">
        <f aca="false">0.35*O50+0.25*P50+0.2 * R50 + 0.1*Q50 + 0.1 * S50</f>
        <v>0.6</v>
      </c>
      <c r="U50" s="3" t="n">
        <f aca="false">H50*N50</f>
        <v>0.05</v>
      </c>
      <c r="V50" s="3" t="n">
        <f aca="false">H50*T50</f>
        <v>0.06</v>
      </c>
      <c r="W50" s="3" t="n">
        <f aca="false">N50*T50</f>
        <v>0.3</v>
      </c>
      <c r="X50" s="3" t="n">
        <f aca="false">H50*N50*T50</f>
        <v>0.03</v>
      </c>
    </row>
    <row r="51" customFormat="false" ht="13.8" hidden="false" customHeight="false" outlineLevel="0" collapsed="false">
      <c r="A51" s="1" t="n">
        <v>44228</v>
      </c>
      <c r="B51" s="2" t="n">
        <v>79876.0632235</v>
      </c>
      <c r="C51" s="2" t="n">
        <v>0</v>
      </c>
      <c r="D51" s="2" t="n">
        <v>1</v>
      </c>
      <c r="E51" s="2" t="n">
        <v>0</v>
      </c>
      <c r="F51" s="2" t="n">
        <v>0</v>
      </c>
      <c r="G51" s="2" t="n">
        <v>0</v>
      </c>
      <c r="H51" s="2" t="n">
        <f aca="false">0.35*E51 + 0.25*G51+0.2*C51+0.1 * D51 + 0.1 * F51</f>
        <v>0.1</v>
      </c>
      <c r="I51" s="2" t="n">
        <v>1</v>
      </c>
      <c r="J51" s="2" t="n">
        <v>1</v>
      </c>
      <c r="K51" s="2" t="n">
        <v>0</v>
      </c>
      <c r="L51" s="2" t="n">
        <v>0</v>
      </c>
      <c r="M51" s="2" t="n">
        <v>0</v>
      </c>
      <c r="N51" s="2" t="n">
        <f aca="false">0.35*I51+0.25*K51+0.15*J51+0.15*L51+0.1 * M51</f>
        <v>0.5</v>
      </c>
      <c r="O51" s="2" t="n">
        <v>1</v>
      </c>
      <c r="P51" s="2" t="n">
        <v>1</v>
      </c>
      <c r="Q51" s="2" t="n">
        <v>0</v>
      </c>
      <c r="R51" s="2" t="n">
        <v>0</v>
      </c>
      <c r="S51" s="2" t="n">
        <v>0</v>
      </c>
      <c r="T51" s="3" t="n">
        <f aca="false">0.35*O51+0.25*P51+0.2 * R51 + 0.1*Q51 + 0.1 * S51</f>
        <v>0.6</v>
      </c>
      <c r="U51" s="3" t="n">
        <f aca="false">H51*N51</f>
        <v>0.05</v>
      </c>
      <c r="V51" s="3" t="n">
        <f aca="false">H51*T51</f>
        <v>0.06</v>
      </c>
      <c r="W51" s="3" t="n">
        <f aca="false">N51*T51</f>
        <v>0.3</v>
      </c>
      <c r="X51" s="3" t="n">
        <f aca="false">H51*N51*T51</f>
        <v>0.03</v>
      </c>
    </row>
    <row r="52" customFormat="false" ht="13.8" hidden="false" customHeight="false" outlineLevel="0" collapsed="false">
      <c r="A52" s="1" t="n">
        <v>44256</v>
      </c>
      <c r="B52" s="2" t="n">
        <v>85196.1225965217</v>
      </c>
      <c r="C52" s="2" t="n">
        <v>0</v>
      </c>
      <c r="D52" s="2" t="n">
        <v>1</v>
      </c>
      <c r="E52" s="2" t="n">
        <v>0</v>
      </c>
      <c r="F52" s="2" t="n">
        <v>0</v>
      </c>
      <c r="G52" s="2" t="n">
        <v>0</v>
      </c>
      <c r="H52" s="2" t="n">
        <f aca="false">0.35*E52 + 0.25*G52+0.2*C52+0.1 * D52 + 0.1 * F52</f>
        <v>0.1</v>
      </c>
      <c r="I52" s="2" t="n">
        <v>1</v>
      </c>
      <c r="J52" s="2" t="n">
        <v>1</v>
      </c>
      <c r="K52" s="2" t="n">
        <v>0</v>
      </c>
      <c r="L52" s="2" t="n">
        <v>0</v>
      </c>
      <c r="M52" s="2" t="n">
        <v>0</v>
      </c>
      <c r="N52" s="2" t="n">
        <f aca="false">0.35*I52+0.25*K52+0.15*J52+0.15*L52+0.1 * M52</f>
        <v>0.5</v>
      </c>
      <c r="O52" s="2" t="n">
        <v>1</v>
      </c>
      <c r="P52" s="2" t="n">
        <v>1</v>
      </c>
      <c r="Q52" s="2" t="n">
        <v>0</v>
      </c>
      <c r="R52" s="2" t="n">
        <v>0</v>
      </c>
      <c r="S52" s="2" t="n">
        <v>0</v>
      </c>
      <c r="T52" s="3" t="n">
        <f aca="false">0.35*O52+0.25*P52+0.2 * R52 + 0.1*Q52 + 0.1 * S52</f>
        <v>0.6</v>
      </c>
      <c r="U52" s="3" t="n">
        <f aca="false">H52*N52</f>
        <v>0.05</v>
      </c>
      <c r="V52" s="3" t="n">
        <f aca="false">H52*T52</f>
        <v>0.06</v>
      </c>
      <c r="W52" s="3" t="n">
        <f aca="false">N52*T52</f>
        <v>0.3</v>
      </c>
      <c r="X52" s="3" t="n">
        <f aca="false">H52*N52*T52</f>
        <v>0.03</v>
      </c>
    </row>
    <row r="53" customFormat="false" ht="13.8" hidden="false" customHeight="false" outlineLevel="0" collapsed="false">
      <c r="A53" s="1" t="n">
        <v>44287</v>
      </c>
      <c r="B53" s="2" t="n">
        <v>89693.1530009091</v>
      </c>
      <c r="C53" s="2" t="n">
        <v>0</v>
      </c>
      <c r="D53" s="2" t="n">
        <v>1</v>
      </c>
      <c r="E53" s="2" t="n">
        <v>0</v>
      </c>
      <c r="F53" s="2" t="n">
        <v>0</v>
      </c>
      <c r="G53" s="2" t="n">
        <v>0</v>
      </c>
      <c r="H53" s="2" t="n">
        <f aca="false">0.35*E53 + 0.25*G53+0.2*C53+0.1 * D53 + 0.1 * F53</f>
        <v>0.1</v>
      </c>
      <c r="I53" s="2" t="n">
        <v>1</v>
      </c>
      <c r="J53" s="2" t="n">
        <v>1</v>
      </c>
      <c r="K53" s="2" t="n">
        <v>0</v>
      </c>
      <c r="L53" s="2" t="n">
        <v>0</v>
      </c>
      <c r="M53" s="2" t="n">
        <v>0</v>
      </c>
      <c r="N53" s="2" t="n">
        <f aca="false">0.35*I53+0.25*K53+0.15*J53+0.15*L53+0.1 * M53</f>
        <v>0.5</v>
      </c>
      <c r="O53" s="2" t="n">
        <v>1</v>
      </c>
      <c r="P53" s="2" t="n">
        <v>1</v>
      </c>
      <c r="Q53" s="2" t="n">
        <v>0</v>
      </c>
      <c r="R53" s="2" t="n">
        <v>0</v>
      </c>
      <c r="S53" s="2" t="n">
        <v>0</v>
      </c>
      <c r="T53" s="3" t="n">
        <f aca="false">0.35*O53+0.25*P53+0.2 * R53 + 0.1*Q53 + 0.1 * S53</f>
        <v>0.6</v>
      </c>
      <c r="U53" s="3" t="n">
        <f aca="false">H53*N53</f>
        <v>0.05</v>
      </c>
      <c r="V53" s="3" t="n">
        <f aca="false">H53*T53</f>
        <v>0.06</v>
      </c>
      <c r="W53" s="3" t="n">
        <f aca="false">N53*T53</f>
        <v>0.3</v>
      </c>
      <c r="X53" s="3" t="n">
        <f aca="false">H53*N53*T53</f>
        <v>0.03</v>
      </c>
    </row>
    <row r="54" customFormat="false" ht="13.8" hidden="false" customHeight="false" outlineLevel="0" collapsed="false">
      <c r="A54" s="1" t="n">
        <v>44317</v>
      </c>
      <c r="B54" s="2" t="n">
        <v>94471.2704480952</v>
      </c>
      <c r="C54" s="2" t="n">
        <v>0</v>
      </c>
      <c r="D54" s="2" t="n">
        <v>1</v>
      </c>
      <c r="E54" s="2" t="n">
        <v>0</v>
      </c>
      <c r="F54" s="2" t="n">
        <v>0</v>
      </c>
      <c r="G54" s="2" t="n">
        <v>0</v>
      </c>
      <c r="H54" s="2" t="n">
        <f aca="false">0.35*E54 + 0.25*G54+0.2*C54+0.1 * D54 + 0.1 * F54</f>
        <v>0.1</v>
      </c>
      <c r="I54" s="2" t="n">
        <v>1</v>
      </c>
      <c r="J54" s="2" t="n">
        <v>1</v>
      </c>
      <c r="K54" s="2" t="n">
        <v>0</v>
      </c>
      <c r="L54" s="2" t="n">
        <v>0</v>
      </c>
      <c r="M54" s="2" t="n">
        <v>0</v>
      </c>
      <c r="N54" s="2" t="n">
        <f aca="false">0.35*I54+0.25*K54+0.15*J54+0.15*L54+0.1 * M54</f>
        <v>0.5</v>
      </c>
      <c r="O54" s="2" t="n">
        <v>1</v>
      </c>
      <c r="P54" s="2" t="n">
        <v>1</v>
      </c>
      <c r="Q54" s="2" t="n">
        <v>0</v>
      </c>
      <c r="R54" s="2" t="n">
        <v>0</v>
      </c>
      <c r="S54" s="2" t="n">
        <v>0</v>
      </c>
      <c r="T54" s="3" t="n">
        <f aca="false">0.35*O54+0.25*P54+0.2 * R54 + 0.1*Q54 + 0.1 * S54</f>
        <v>0.6</v>
      </c>
      <c r="U54" s="3" t="n">
        <f aca="false">H54*N54</f>
        <v>0.05</v>
      </c>
      <c r="V54" s="3" t="n">
        <f aca="false">H54*T54</f>
        <v>0.06</v>
      </c>
      <c r="W54" s="3" t="n">
        <f aca="false">N54*T54</f>
        <v>0.3</v>
      </c>
      <c r="X54" s="3" t="n">
        <f aca="false">H54*N54*T54</f>
        <v>0.03</v>
      </c>
    </row>
    <row r="55" customFormat="false" ht="13.8" hidden="false" customHeight="false" outlineLevel="0" collapsed="false">
      <c r="A55" s="1" t="n">
        <v>44348</v>
      </c>
      <c r="B55" s="2" t="n">
        <v>96521.5079136363</v>
      </c>
      <c r="C55" s="2" t="n">
        <v>0</v>
      </c>
      <c r="D55" s="2" t="n">
        <v>1</v>
      </c>
      <c r="E55" s="2" t="n">
        <v>0</v>
      </c>
      <c r="F55" s="2" t="n">
        <v>0</v>
      </c>
      <c r="G55" s="2" t="n">
        <v>0</v>
      </c>
      <c r="H55" s="2" t="n">
        <f aca="false">0.35*E55 + 0.25*G55+0.2*C55+0.1 * D55 + 0.1 * F55</f>
        <v>0.1</v>
      </c>
      <c r="I55" s="2" t="n">
        <v>1</v>
      </c>
      <c r="J55" s="2" t="n">
        <v>1</v>
      </c>
      <c r="K55" s="2" t="n">
        <v>0</v>
      </c>
      <c r="L55" s="2" t="n">
        <v>0</v>
      </c>
      <c r="M55" s="2" t="n">
        <v>0</v>
      </c>
      <c r="N55" s="2" t="n">
        <f aca="false">0.35*I55+0.25*K55+0.15*J55+0.15*L55+0.1 * M55</f>
        <v>0.5</v>
      </c>
      <c r="O55" s="2" t="n">
        <v>1</v>
      </c>
      <c r="P55" s="2" t="n">
        <v>1</v>
      </c>
      <c r="Q55" s="2" t="n">
        <v>1</v>
      </c>
      <c r="R55" s="2" t="n">
        <v>0</v>
      </c>
      <c r="S55" s="2" t="n">
        <v>0</v>
      </c>
      <c r="T55" s="3" t="n">
        <f aca="false">0.35*O55+0.25*P55+0.2 * R55 + 0.1*Q55 + 0.1 * S55</f>
        <v>0.7</v>
      </c>
      <c r="U55" s="3" t="n">
        <f aca="false">H55*N55</f>
        <v>0.05</v>
      </c>
      <c r="V55" s="3" t="n">
        <f aca="false">H55*T55</f>
        <v>0.07</v>
      </c>
      <c r="W55" s="3" t="n">
        <f aca="false">N55*T55</f>
        <v>0.35</v>
      </c>
      <c r="X55" s="3" t="n">
        <f aca="false">H55*N55*T55</f>
        <v>0.035</v>
      </c>
    </row>
    <row r="56" customFormat="false" ht="13.8" hidden="false" customHeight="false" outlineLevel="0" collapsed="false">
      <c r="A56" s="1" t="n">
        <v>44378</v>
      </c>
      <c r="B56" s="2" t="n">
        <v>95767.6146181818</v>
      </c>
      <c r="C56" s="2" t="n">
        <v>0</v>
      </c>
      <c r="D56" s="2" t="n">
        <v>1</v>
      </c>
      <c r="E56" s="2" t="n">
        <v>0</v>
      </c>
      <c r="F56" s="2" t="n">
        <v>0</v>
      </c>
      <c r="G56" s="2" t="n">
        <v>0</v>
      </c>
      <c r="H56" s="2" t="n">
        <f aca="false">0.35*E56 + 0.25*G56+0.2*C56+0.1 * D56 + 0.1 * F56</f>
        <v>0.1</v>
      </c>
      <c r="I56" s="2" t="n">
        <v>1</v>
      </c>
      <c r="J56" s="2" t="n">
        <v>1</v>
      </c>
      <c r="K56" s="2" t="n">
        <v>0</v>
      </c>
      <c r="L56" s="2" t="n">
        <v>0</v>
      </c>
      <c r="M56" s="2" t="n">
        <v>0</v>
      </c>
      <c r="N56" s="2" t="n">
        <f aca="false">0.35*I56+0.25*K56+0.15*J56+0.15*L56+0.1 * M56</f>
        <v>0.5</v>
      </c>
      <c r="O56" s="2" t="n">
        <v>1</v>
      </c>
      <c r="P56" s="2" t="n">
        <v>1</v>
      </c>
      <c r="Q56" s="2" t="n">
        <v>1</v>
      </c>
      <c r="R56" s="2" t="n">
        <v>0</v>
      </c>
      <c r="S56" s="2" t="n">
        <v>0</v>
      </c>
      <c r="T56" s="3" t="n">
        <f aca="false">0.35*O56+0.25*P56+0.2 * R56 + 0.1*Q56 + 0.1 * S56</f>
        <v>0.7</v>
      </c>
      <c r="U56" s="3" t="n">
        <f aca="false">H56*N56</f>
        <v>0.05</v>
      </c>
      <c r="V56" s="3" t="n">
        <f aca="false">H56*T56</f>
        <v>0.07</v>
      </c>
      <c r="W56" s="3" t="n">
        <f aca="false">N56*T56</f>
        <v>0.35</v>
      </c>
      <c r="X56" s="3" t="n">
        <f aca="false">H56*N56*T56</f>
        <v>0.035</v>
      </c>
    </row>
    <row r="57" customFormat="false" ht="13.8" hidden="false" customHeight="false" outlineLevel="0" collapsed="false">
      <c r="A57" s="1" t="n">
        <v>44409</v>
      </c>
      <c r="B57" s="2" t="n">
        <v>103970.140641818</v>
      </c>
      <c r="C57" s="2" t="n">
        <v>0</v>
      </c>
      <c r="D57" s="2" t="n">
        <v>1</v>
      </c>
      <c r="E57" s="2" t="n">
        <v>0</v>
      </c>
      <c r="F57" s="2" t="n">
        <v>0</v>
      </c>
      <c r="G57" s="2" t="n">
        <v>0</v>
      </c>
      <c r="H57" s="2" t="n">
        <f aca="false">0.35*E57 + 0.25*G57+0.2*C57+0.1 * D57 + 0.1 * F57</f>
        <v>0.1</v>
      </c>
      <c r="I57" s="2" t="n">
        <v>1</v>
      </c>
      <c r="J57" s="2" t="n">
        <v>1</v>
      </c>
      <c r="K57" s="2" t="n">
        <v>0</v>
      </c>
      <c r="L57" s="2" t="n">
        <v>0</v>
      </c>
      <c r="M57" s="2" t="n">
        <v>0</v>
      </c>
      <c r="N57" s="2" t="n">
        <f aca="false">0.35*I57+0.25*K57+0.15*J57+0.15*L57+0.1 * M57</f>
        <v>0.5</v>
      </c>
      <c r="O57" s="2" t="n">
        <v>1</v>
      </c>
      <c r="P57" s="2" t="n">
        <v>1</v>
      </c>
      <c r="Q57" s="2" t="n">
        <v>1</v>
      </c>
      <c r="R57" s="2" t="n">
        <v>0</v>
      </c>
      <c r="S57" s="2" t="n">
        <v>0</v>
      </c>
      <c r="T57" s="3" t="n">
        <f aca="false">0.35*O57+0.25*P57+0.2 * R57 + 0.1*Q57 + 0.1 * S57</f>
        <v>0.7</v>
      </c>
      <c r="U57" s="3" t="n">
        <f aca="false">H57*N57</f>
        <v>0.05</v>
      </c>
      <c r="V57" s="3" t="n">
        <f aca="false">H57*T57</f>
        <v>0.07</v>
      </c>
      <c r="W57" s="3" t="n">
        <f aca="false">N57*T57</f>
        <v>0.35</v>
      </c>
      <c r="X57" s="3" t="n">
        <f aca="false">H57*N57*T57</f>
        <v>0.035</v>
      </c>
    </row>
    <row r="58" customFormat="false" ht="13.8" hidden="false" customHeight="false" outlineLevel="0" collapsed="false">
      <c r="A58" s="1" t="n">
        <v>44440</v>
      </c>
      <c r="B58" s="2" t="n">
        <v>122714.9005</v>
      </c>
      <c r="C58" s="2" t="n">
        <v>0</v>
      </c>
      <c r="D58" s="2" t="n">
        <v>1</v>
      </c>
      <c r="E58" s="2" t="n">
        <v>0</v>
      </c>
      <c r="F58" s="2" t="n">
        <v>0</v>
      </c>
      <c r="G58" s="2" t="n">
        <v>0</v>
      </c>
      <c r="H58" s="2" t="n">
        <f aca="false">0.35*E58 + 0.25*G58+0.2*C58+0.1 * D58 + 0.1 * F58</f>
        <v>0.1</v>
      </c>
      <c r="I58" s="2" t="n">
        <v>1</v>
      </c>
      <c r="J58" s="2" t="n">
        <v>1</v>
      </c>
      <c r="K58" s="2" t="n">
        <v>0</v>
      </c>
      <c r="L58" s="2" t="n">
        <v>0</v>
      </c>
      <c r="M58" s="2" t="n">
        <v>0</v>
      </c>
      <c r="N58" s="2" t="n">
        <f aca="false">0.35*I58+0.25*K58+0.15*J58+0.15*L58+0.1 * M58</f>
        <v>0.5</v>
      </c>
      <c r="O58" s="2" t="n">
        <v>1</v>
      </c>
      <c r="P58" s="2" t="n">
        <v>1</v>
      </c>
      <c r="Q58" s="2" t="n">
        <v>1</v>
      </c>
      <c r="R58" s="2" t="n">
        <v>0</v>
      </c>
      <c r="S58" s="2" t="n">
        <v>0</v>
      </c>
      <c r="T58" s="3" t="n">
        <f aca="false">0.35*O58+0.25*P58+0.2 * R58 + 0.1*Q58 + 0.1 * S58</f>
        <v>0.7</v>
      </c>
      <c r="U58" s="3" t="n">
        <f aca="false">H58*N58</f>
        <v>0.05</v>
      </c>
      <c r="V58" s="3" t="n">
        <f aca="false">H58*T58</f>
        <v>0.07</v>
      </c>
      <c r="W58" s="3" t="n">
        <f aca="false">N58*T58</f>
        <v>0.35</v>
      </c>
      <c r="X58" s="3" t="n">
        <f aca="false">H58*N58*T58</f>
        <v>0.035</v>
      </c>
    </row>
    <row r="59" customFormat="false" ht="13.8" hidden="false" customHeight="false" outlineLevel="0" collapsed="false">
      <c r="A59" s="1" t="n">
        <v>44470</v>
      </c>
      <c r="B59" s="2" t="n">
        <v>142293.440690476</v>
      </c>
      <c r="C59" s="2" t="n">
        <v>0</v>
      </c>
      <c r="D59" s="2" t="n">
        <v>1</v>
      </c>
      <c r="E59" s="2" t="n">
        <v>0</v>
      </c>
      <c r="F59" s="2" t="n">
        <v>0</v>
      </c>
      <c r="G59" s="2" t="n">
        <v>0</v>
      </c>
      <c r="H59" s="2" t="n">
        <f aca="false">0.35*E59 + 0.25*G59+0.2*C59+0.1 * D59 + 0.1 * F59</f>
        <v>0.1</v>
      </c>
      <c r="I59" s="2" t="n">
        <v>1</v>
      </c>
      <c r="J59" s="2" t="n">
        <v>1</v>
      </c>
      <c r="K59" s="2" t="n">
        <v>0</v>
      </c>
      <c r="L59" s="2" t="n">
        <v>0</v>
      </c>
      <c r="M59" s="2" t="n">
        <v>0</v>
      </c>
      <c r="N59" s="2" t="n">
        <f aca="false">0.35*I59+0.25*K59+0.15*J59+0.15*L59+0.1 * M59</f>
        <v>0.5</v>
      </c>
      <c r="O59" s="2" t="n">
        <v>1</v>
      </c>
      <c r="P59" s="2" t="n">
        <v>1</v>
      </c>
      <c r="Q59" s="2" t="n">
        <v>1</v>
      </c>
      <c r="R59" s="2" t="n">
        <v>0</v>
      </c>
      <c r="S59" s="2" t="n">
        <v>0</v>
      </c>
      <c r="T59" s="3" t="n">
        <f aca="false">0.35*O59+0.25*P59+0.2 * R59 + 0.1*Q59 + 0.1 * S59</f>
        <v>0.7</v>
      </c>
      <c r="U59" s="3" t="n">
        <f aca="false">H59*N59</f>
        <v>0.05</v>
      </c>
      <c r="V59" s="3" t="n">
        <f aca="false">H59*T59</f>
        <v>0.07</v>
      </c>
      <c r="W59" s="3" t="n">
        <f aca="false">N59*T59</f>
        <v>0.35</v>
      </c>
      <c r="X59" s="3" t="n">
        <f aca="false">H59*N59*T59</f>
        <v>0.035</v>
      </c>
    </row>
    <row r="60" customFormat="false" ht="13.8" hidden="false" customHeight="false" outlineLevel="0" collapsed="false">
      <c r="A60" s="1" t="n">
        <v>44501</v>
      </c>
      <c r="B60" s="2" t="n">
        <v>163563.75300909</v>
      </c>
      <c r="C60" s="2" t="n">
        <v>0</v>
      </c>
      <c r="D60" s="2" t="n">
        <v>1</v>
      </c>
      <c r="E60" s="2" t="n">
        <v>0</v>
      </c>
      <c r="F60" s="2" t="n">
        <v>0</v>
      </c>
      <c r="G60" s="2" t="n">
        <v>0</v>
      </c>
      <c r="H60" s="2" t="n">
        <f aca="false">0.35*E60 + 0.25*G60+0.2*C60+0.1 * D60 + 0.1 * F60</f>
        <v>0.1</v>
      </c>
      <c r="I60" s="2" t="n">
        <v>1</v>
      </c>
      <c r="J60" s="2" t="n">
        <v>1</v>
      </c>
      <c r="K60" s="2" t="n">
        <v>0</v>
      </c>
      <c r="L60" s="2" t="n">
        <v>0</v>
      </c>
      <c r="M60" s="2" t="n">
        <v>0</v>
      </c>
      <c r="N60" s="2" t="n">
        <f aca="false">0.35*I60+0.25*K60+0.15*J60+0.15*L60+0.1 * M60</f>
        <v>0.5</v>
      </c>
      <c r="O60" s="2" t="n">
        <v>1</v>
      </c>
      <c r="P60" s="2" t="n">
        <v>1</v>
      </c>
      <c r="Q60" s="2" t="n">
        <v>1</v>
      </c>
      <c r="R60" s="2" t="n">
        <v>0</v>
      </c>
      <c r="S60" s="2" t="n">
        <v>0</v>
      </c>
      <c r="T60" s="3" t="n">
        <f aca="false">0.35*O60+0.25*P60+0.2 * R60 + 0.1*Q60 + 0.1 * S60</f>
        <v>0.7</v>
      </c>
      <c r="U60" s="3" t="n">
        <f aca="false">H60*N60</f>
        <v>0.05</v>
      </c>
      <c r="V60" s="3" t="n">
        <f aca="false">H60*T60</f>
        <v>0.07</v>
      </c>
      <c r="W60" s="3" t="n">
        <f aca="false">N60*T60</f>
        <v>0.35</v>
      </c>
      <c r="X60" s="3" t="n">
        <f aca="false">H60*N60*T60</f>
        <v>0.035</v>
      </c>
    </row>
    <row r="61" customFormat="false" ht="13.8" hidden="false" customHeight="false" outlineLevel="0" collapsed="false">
      <c r="A61" s="1" t="n">
        <v>44531</v>
      </c>
      <c r="B61" s="2" t="n">
        <v>184429.307617391</v>
      </c>
      <c r="C61" s="2" t="n">
        <v>0</v>
      </c>
      <c r="D61" s="2" t="n">
        <v>1</v>
      </c>
      <c r="E61" s="2" t="n">
        <v>0</v>
      </c>
      <c r="F61" s="2" t="n">
        <v>0</v>
      </c>
      <c r="G61" s="2" t="n">
        <v>0</v>
      </c>
      <c r="H61" s="2" t="n">
        <f aca="false">0.35*E61 + 0.25*G61+0.2*C61+0.1 * D61 + 0.1 * F61</f>
        <v>0.1</v>
      </c>
      <c r="I61" s="2" t="n">
        <v>1</v>
      </c>
      <c r="J61" s="2" t="n">
        <v>1</v>
      </c>
      <c r="K61" s="2" t="n">
        <v>0</v>
      </c>
      <c r="L61" s="2" t="n">
        <v>0</v>
      </c>
      <c r="M61" s="2" t="n">
        <v>0</v>
      </c>
      <c r="N61" s="2" t="n">
        <f aca="false">0.35*I61+0.25*K61+0.15*J61+0.15*L61+0.1 * M61</f>
        <v>0.5</v>
      </c>
      <c r="O61" s="2" t="n">
        <v>1</v>
      </c>
      <c r="P61" s="2" t="n">
        <v>1</v>
      </c>
      <c r="Q61" s="2" t="n">
        <v>1</v>
      </c>
      <c r="R61" s="2" t="n">
        <v>0</v>
      </c>
      <c r="S61" s="2" t="n">
        <v>0</v>
      </c>
      <c r="T61" s="3" t="n">
        <f aca="false">0.35*O61+0.25*P61+0.2 * R61 + 0.1*Q61 + 0.1 * S61</f>
        <v>0.7</v>
      </c>
      <c r="U61" s="3" t="n">
        <f aca="false">H61*N61</f>
        <v>0.05</v>
      </c>
      <c r="V61" s="3" t="n">
        <f aca="false">H61*T61</f>
        <v>0.07</v>
      </c>
      <c r="W61" s="3" t="n">
        <f aca="false">N61*T61</f>
        <v>0.35</v>
      </c>
      <c r="X61" s="3" t="n">
        <f aca="false">H61*N61*T61</f>
        <v>0.035</v>
      </c>
    </row>
    <row r="62" customFormat="false" ht="13.8" hidden="false" customHeight="false" outlineLevel="0" collapsed="false">
      <c r="A62" s="1" t="n">
        <v>44562</v>
      </c>
      <c r="B62" s="2" t="n">
        <v>266260.850614285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f aca="false">0.35*E62 + 0.25*G62+0.2*C62+0.1 * D62 + 0.1 * F62</f>
        <v>0</v>
      </c>
      <c r="I62" s="2" t="n">
        <v>1</v>
      </c>
      <c r="J62" s="2" t="n">
        <v>1</v>
      </c>
      <c r="K62" s="2" t="n">
        <v>0</v>
      </c>
      <c r="L62" s="2" t="n">
        <v>0</v>
      </c>
      <c r="M62" s="2" t="n">
        <v>0</v>
      </c>
      <c r="N62" s="2" t="n">
        <f aca="false">0.35*I62+0.25*K62+0.15*J62+0.15*L62+0.1 * M62</f>
        <v>0.5</v>
      </c>
      <c r="O62" s="2" t="n">
        <v>1</v>
      </c>
      <c r="P62" s="2" t="n">
        <v>1</v>
      </c>
      <c r="Q62" s="2" t="n">
        <v>1</v>
      </c>
      <c r="R62" s="2" t="n">
        <v>0</v>
      </c>
      <c r="S62" s="2" t="n">
        <v>0</v>
      </c>
      <c r="T62" s="3" t="n">
        <f aca="false">0.35*O62+0.25*P62+0.2 * R62 + 0.1*Q62 + 0.1 * S62</f>
        <v>0.7</v>
      </c>
      <c r="U62" s="3" t="n">
        <f aca="false">H62*N62</f>
        <v>0</v>
      </c>
      <c r="V62" s="3" t="n">
        <f aca="false">H62*T62</f>
        <v>0</v>
      </c>
      <c r="W62" s="3" t="n">
        <f aca="false">N62*T62</f>
        <v>0.35</v>
      </c>
      <c r="X62" s="3" t="n">
        <f aca="false">H62*N62*T62</f>
        <v>0</v>
      </c>
    </row>
    <row r="63" customFormat="false" ht="13.8" hidden="false" customHeight="false" outlineLevel="0" collapsed="false">
      <c r="A63" s="1" t="n">
        <v>44593</v>
      </c>
      <c r="B63" s="2" t="n">
        <v>341140.047585</v>
      </c>
      <c r="C63" s="2" t="n">
        <v>0</v>
      </c>
      <c r="D63" s="2" t="n">
        <v>0</v>
      </c>
      <c r="E63" s="2" t="n">
        <v>1</v>
      </c>
      <c r="F63" s="2" t="n">
        <v>0</v>
      </c>
      <c r="G63" s="2" t="n">
        <v>0</v>
      </c>
      <c r="H63" s="2" t="n">
        <f aca="false">0.35*E63 + 0.25*G63+0.2*C63+0.1 * D63 + 0.1 * F63</f>
        <v>0.35</v>
      </c>
      <c r="I63" s="2" t="n">
        <v>1</v>
      </c>
      <c r="J63" s="2" t="n">
        <v>1</v>
      </c>
      <c r="K63" s="2" t="n">
        <v>0</v>
      </c>
      <c r="L63" s="2" t="n">
        <v>0</v>
      </c>
      <c r="M63" s="2" t="n">
        <v>0</v>
      </c>
      <c r="N63" s="2" t="n">
        <f aca="false">0.35*I63+0.25*K63+0.15*J63+0.15*L63+0.1 * M63</f>
        <v>0.5</v>
      </c>
      <c r="O63" s="2" t="n">
        <v>1</v>
      </c>
      <c r="P63" s="2" t="n">
        <v>1</v>
      </c>
      <c r="Q63" s="2" t="n">
        <v>1</v>
      </c>
      <c r="R63" s="2" t="n">
        <v>0</v>
      </c>
      <c r="S63" s="2" t="n">
        <v>0</v>
      </c>
      <c r="T63" s="3" t="n">
        <f aca="false">0.35*O63+0.25*P63+0.2 * R63 + 0.1*Q63 + 0.1 * S63</f>
        <v>0.7</v>
      </c>
      <c r="U63" s="3" t="n">
        <f aca="false">H63*N63</f>
        <v>0.175</v>
      </c>
      <c r="V63" s="3" t="n">
        <f aca="false">H63*T63</f>
        <v>0.245</v>
      </c>
      <c r="W63" s="3" t="n">
        <f aca="false">N63*T63</f>
        <v>0.35</v>
      </c>
      <c r="X63" s="3" t="n">
        <f aca="false">H63*N63*T63</f>
        <v>0.1225</v>
      </c>
    </row>
    <row r="64" customFormat="false" ht="13.8" hidden="false" customHeight="false" outlineLevel="0" collapsed="false">
      <c r="A64" s="1" t="n">
        <v>44621</v>
      </c>
      <c r="B64" s="2" t="n">
        <v>473185.882547826</v>
      </c>
      <c r="C64" s="2" t="n">
        <v>0</v>
      </c>
      <c r="D64" s="2" t="n">
        <v>0</v>
      </c>
      <c r="E64" s="2" t="n">
        <v>1</v>
      </c>
      <c r="F64" s="2" t="n">
        <v>0</v>
      </c>
      <c r="G64" s="2" t="n">
        <v>0</v>
      </c>
      <c r="H64" s="2" t="n">
        <f aca="false">0.35*E64 + 0.25*G64+0.2*C64+0.1 * D64 + 0.1 * F64</f>
        <v>0.35</v>
      </c>
      <c r="I64" s="2" t="n">
        <v>1</v>
      </c>
      <c r="J64" s="2" t="n">
        <v>1</v>
      </c>
      <c r="K64" s="2" t="n">
        <v>0</v>
      </c>
      <c r="L64" s="2" t="n">
        <v>0</v>
      </c>
      <c r="M64" s="2" t="n">
        <v>0</v>
      </c>
      <c r="N64" s="2" t="n">
        <f aca="false">0.35*I64+0.25*K64+0.15*J64+0.15*L64+0.1 * M64</f>
        <v>0.5</v>
      </c>
      <c r="O64" s="2" t="n">
        <v>1</v>
      </c>
      <c r="P64" s="2" t="n">
        <v>1</v>
      </c>
      <c r="Q64" s="2" t="n">
        <v>1</v>
      </c>
      <c r="R64" s="2" t="n">
        <v>0</v>
      </c>
      <c r="S64" s="2" t="n">
        <v>0</v>
      </c>
      <c r="T64" s="3" t="n">
        <f aca="false">0.35*O64+0.25*P64+0.2 * R64 + 0.1*Q64 + 0.1 * S64</f>
        <v>0.7</v>
      </c>
      <c r="U64" s="3" t="n">
        <f aca="false">H64*N64</f>
        <v>0.175</v>
      </c>
      <c r="V64" s="3" t="n">
        <f aca="false">H64*T64</f>
        <v>0.245</v>
      </c>
      <c r="W64" s="3" t="n">
        <f aca="false">N64*T64</f>
        <v>0.35</v>
      </c>
      <c r="X64" s="3" t="n">
        <f aca="false">H64*N64*T64</f>
        <v>0.1225</v>
      </c>
    </row>
    <row r="65" customFormat="false" ht="13.8" hidden="false" customHeight="false" outlineLevel="0" collapsed="false">
      <c r="A65" s="1" t="n">
        <v>44652</v>
      </c>
      <c r="B65" s="2" t="n">
        <v>490008.178980952</v>
      </c>
      <c r="C65" s="2" t="n">
        <v>0</v>
      </c>
      <c r="D65" s="2" t="n">
        <v>0</v>
      </c>
      <c r="E65" s="2" t="n">
        <v>1</v>
      </c>
      <c r="F65" s="2" t="n">
        <v>0</v>
      </c>
      <c r="G65" s="2" t="n">
        <v>0</v>
      </c>
      <c r="H65" s="2" t="n">
        <f aca="false">0.35*E65 + 0.25*G65+0.2*C65+0.1 * D65 + 0.1 * F65</f>
        <v>0.35</v>
      </c>
      <c r="I65" s="2" t="n">
        <v>1</v>
      </c>
      <c r="J65" s="2" t="n">
        <v>1</v>
      </c>
      <c r="K65" s="2" t="n">
        <v>0</v>
      </c>
      <c r="L65" s="2" t="n">
        <v>0</v>
      </c>
      <c r="M65" s="2" t="n">
        <v>0</v>
      </c>
      <c r="N65" s="2" t="n">
        <f aca="false">0.35*I65+0.25*K65+0.15*J65+0.15*L65+0.1 * M65</f>
        <v>0.5</v>
      </c>
      <c r="O65" s="2" t="n">
        <v>1</v>
      </c>
      <c r="P65" s="2" t="n">
        <v>1</v>
      </c>
      <c r="Q65" s="2" t="n">
        <v>1</v>
      </c>
      <c r="R65" s="2" t="n">
        <v>0</v>
      </c>
      <c r="S65" s="2" t="n">
        <v>0</v>
      </c>
      <c r="T65" s="3" t="n">
        <f aca="false">0.35*O65+0.25*P65+0.2 * R65 + 0.1*Q65 + 0.1 * S65</f>
        <v>0.7</v>
      </c>
      <c r="U65" s="3" t="n">
        <f aca="false">H65*N65</f>
        <v>0.175</v>
      </c>
      <c r="V65" s="3" t="n">
        <f aca="false">H65*T65</f>
        <v>0.245</v>
      </c>
      <c r="W65" s="3" t="n">
        <f aca="false">N65*T65</f>
        <v>0.35</v>
      </c>
      <c r="X65" s="3" t="n">
        <f aca="false">H65*N65*T65</f>
        <v>0.1225</v>
      </c>
    </row>
    <row r="66" customFormat="false" ht="13.8" hidden="false" customHeight="false" outlineLevel="0" collapsed="false">
      <c r="A66" s="1" t="n">
        <v>44682</v>
      </c>
      <c r="B66" s="2" t="n">
        <v>453228.857218181</v>
      </c>
      <c r="C66" s="2" t="n">
        <v>0</v>
      </c>
      <c r="D66" s="2" t="n">
        <v>0</v>
      </c>
      <c r="E66" s="2" t="n">
        <v>1</v>
      </c>
      <c r="F66" s="2" t="n">
        <v>0</v>
      </c>
      <c r="G66" s="2" t="n">
        <v>0</v>
      </c>
      <c r="H66" s="2" t="n">
        <f aca="false">0.35*E66 + 0.25*G66+0.2*C66+0.1 * D66 + 0.1 * F66</f>
        <v>0.35</v>
      </c>
      <c r="I66" s="2" t="n">
        <v>1</v>
      </c>
      <c r="J66" s="2" t="n">
        <v>1</v>
      </c>
      <c r="K66" s="2" t="n">
        <v>0</v>
      </c>
      <c r="L66" s="2" t="n">
        <v>0</v>
      </c>
      <c r="M66" s="2" t="n">
        <v>0</v>
      </c>
      <c r="N66" s="2" t="n">
        <f aca="false">0.35*I66+0.25*K66+0.15*J66+0.15*L66+0.1 * M66</f>
        <v>0.5</v>
      </c>
      <c r="O66" s="2" t="n">
        <v>1</v>
      </c>
      <c r="P66" s="2" t="n">
        <v>1</v>
      </c>
      <c r="Q66" s="2" t="n">
        <v>1</v>
      </c>
      <c r="R66" s="2" t="n">
        <v>0</v>
      </c>
      <c r="S66" s="2" t="n">
        <v>0</v>
      </c>
      <c r="T66" s="3" t="n">
        <f aca="false">0.35*O66+0.25*P66+0.2 * R66 + 0.1*Q66 + 0.1 * S66</f>
        <v>0.7</v>
      </c>
      <c r="U66" s="3" t="n">
        <f aca="false">H66*N66</f>
        <v>0.175</v>
      </c>
      <c r="V66" s="3" t="n">
        <f aca="false">H66*T66</f>
        <v>0.245</v>
      </c>
      <c r="W66" s="3" t="n">
        <f aca="false">N66*T66</f>
        <v>0.35</v>
      </c>
      <c r="X66" s="3" t="n">
        <f aca="false">H66*N66*T66</f>
        <v>0.1225</v>
      </c>
    </row>
    <row r="67" customFormat="false" ht="13.8" hidden="false" customHeight="false" outlineLevel="0" collapsed="false">
      <c r="A67" s="1" t="n">
        <v>44713</v>
      </c>
      <c r="B67" s="2" t="n">
        <v>443656.20490909</v>
      </c>
      <c r="C67" s="2" t="n">
        <v>0</v>
      </c>
      <c r="D67" s="2" t="n">
        <v>0</v>
      </c>
      <c r="E67" s="2" t="n">
        <v>1</v>
      </c>
      <c r="F67" s="2" t="n">
        <v>0</v>
      </c>
      <c r="G67" s="2" t="n">
        <v>0</v>
      </c>
      <c r="H67" s="2" t="n">
        <f aca="false">0.35*E67 + 0.25*G67+0.2*C67+0.1 * D67 + 0.1 * F67</f>
        <v>0.35</v>
      </c>
      <c r="I67" s="2" t="n">
        <v>1</v>
      </c>
      <c r="J67" s="2" t="n">
        <v>1</v>
      </c>
      <c r="K67" s="2" t="n">
        <v>0</v>
      </c>
      <c r="L67" s="2" t="n">
        <v>0</v>
      </c>
      <c r="M67" s="2" t="n">
        <v>0</v>
      </c>
      <c r="N67" s="2" t="n">
        <f aca="false">0.35*I67+0.25*K67+0.15*J67+0.15*L67+0.1 * M67</f>
        <v>0.5</v>
      </c>
      <c r="O67" s="2" t="n">
        <v>1</v>
      </c>
      <c r="P67" s="2" t="n">
        <v>1</v>
      </c>
      <c r="Q67" s="2" t="n">
        <v>1</v>
      </c>
      <c r="R67" s="2" t="n">
        <v>0</v>
      </c>
      <c r="S67" s="2" t="n">
        <v>0</v>
      </c>
      <c r="T67" s="3" t="n">
        <f aca="false">0.35*O67+0.25*P67+0.2 * R67 + 0.1*Q67 + 0.1 * S67</f>
        <v>0.7</v>
      </c>
      <c r="U67" s="3" t="n">
        <f aca="false">H67*N67</f>
        <v>0.175</v>
      </c>
      <c r="V67" s="3" t="n">
        <f aca="false">H67*T67</f>
        <v>0.245</v>
      </c>
      <c r="W67" s="3" t="n">
        <f aca="false">N67*T67</f>
        <v>0.35</v>
      </c>
      <c r="X67" s="3" t="n">
        <f aca="false">H67*N67*T67</f>
        <v>0.1225</v>
      </c>
    </row>
    <row r="68" customFormat="false" ht="13.8" hidden="false" customHeight="false" outlineLevel="0" collapsed="false">
      <c r="A68" s="1" t="n">
        <v>44743</v>
      </c>
      <c r="B68" s="2" t="n">
        <v>441052.335438095</v>
      </c>
      <c r="C68" s="2" t="n">
        <v>0</v>
      </c>
      <c r="D68" s="2" t="n">
        <v>0</v>
      </c>
      <c r="E68" s="2" t="n">
        <v>1</v>
      </c>
      <c r="F68" s="2" t="n">
        <v>0</v>
      </c>
      <c r="G68" s="2" t="n">
        <v>0</v>
      </c>
      <c r="H68" s="2" t="n">
        <f aca="false">0.35*E68 + 0.25*G68+0.2*C68+0.1 * D68 + 0.1 * F68</f>
        <v>0.35</v>
      </c>
      <c r="I68" s="2" t="n">
        <v>1</v>
      </c>
      <c r="J68" s="2" t="n">
        <v>1</v>
      </c>
      <c r="K68" s="2" t="n">
        <v>0</v>
      </c>
      <c r="L68" s="2" t="n">
        <v>0</v>
      </c>
      <c r="M68" s="2" t="n">
        <v>0</v>
      </c>
      <c r="N68" s="2" t="n">
        <f aca="false">0.35*I68+0.25*K68+0.15*J68+0.15*L68+0.1 * M68</f>
        <v>0.5</v>
      </c>
      <c r="O68" s="2" t="n">
        <v>1</v>
      </c>
      <c r="P68" s="2" t="n">
        <v>1</v>
      </c>
      <c r="Q68" s="2" t="n">
        <v>0</v>
      </c>
      <c r="R68" s="2" t="n">
        <v>0</v>
      </c>
      <c r="S68" s="2" t="n">
        <v>0</v>
      </c>
      <c r="T68" s="3" t="n">
        <f aca="false">0.35*O68+0.25*P68+0.2 * R68 + 0.1*Q68 + 0.1 * S68</f>
        <v>0.6</v>
      </c>
      <c r="U68" s="3" t="n">
        <f aca="false">H68*N68</f>
        <v>0.175</v>
      </c>
      <c r="V68" s="3" t="n">
        <f aca="false">H68*T68</f>
        <v>0.21</v>
      </c>
      <c r="W68" s="3" t="n">
        <f aca="false">N68*T68</f>
        <v>0.3</v>
      </c>
      <c r="X68" s="3" t="n">
        <f aca="false">H68*N68*T68</f>
        <v>0.105</v>
      </c>
    </row>
    <row r="69" customFormat="false" ht="13.8" hidden="false" customHeight="false" outlineLevel="0" collapsed="false">
      <c r="A69" s="1" t="n">
        <v>44774</v>
      </c>
      <c r="B69" s="2" t="n">
        <v>435305.331326087</v>
      </c>
      <c r="C69" s="2" t="n">
        <v>0</v>
      </c>
      <c r="D69" s="2" t="n">
        <v>0</v>
      </c>
      <c r="E69" s="2" t="n">
        <v>1</v>
      </c>
      <c r="F69" s="2" t="n">
        <v>0</v>
      </c>
      <c r="G69" s="2" t="n">
        <v>0</v>
      </c>
      <c r="H69" s="2" t="n">
        <f aca="false">0.35*E69 + 0.25*G69+0.2*C69+0.1 * D69 + 0.1 * F69</f>
        <v>0.35</v>
      </c>
      <c r="I69" s="2" t="n">
        <v>1</v>
      </c>
      <c r="J69" s="2" t="n">
        <v>1</v>
      </c>
      <c r="K69" s="2" t="n">
        <v>1</v>
      </c>
      <c r="L69" s="2" t="n">
        <v>0</v>
      </c>
      <c r="M69" s="2" t="n">
        <v>0</v>
      </c>
      <c r="N69" s="2" t="n">
        <f aca="false">0.35*I69+0.25*K69+0.15*J69+0.15*L69+0.1 * M69</f>
        <v>0.75</v>
      </c>
      <c r="O69" s="2" t="n">
        <v>1</v>
      </c>
      <c r="P69" s="2" t="n">
        <v>1</v>
      </c>
      <c r="Q69" s="2" t="n">
        <v>0</v>
      </c>
      <c r="R69" s="2" t="n">
        <v>0</v>
      </c>
      <c r="S69" s="2" t="n">
        <v>0</v>
      </c>
      <c r="T69" s="3" t="n">
        <f aca="false">0.35*O69+0.25*P69+0.2 * R69 + 0.1*Q69 + 0.1 * S69</f>
        <v>0.6</v>
      </c>
      <c r="U69" s="3" t="n">
        <f aca="false">H69*N69</f>
        <v>0.2625</v>
      </c>
      <c r="V69" s="3" t="n">
        <f aca="false">H69*T69</f>
        <v>0.21</v>
      </c>
      <c r="W69" s="3" t="n">
        <f aca="false">N69*T69</f>
        <v>0.45</v>
      </c>
      <c r="X69" s="3" t="n">
        <f aca="false">H69*N69*T69</f>
        <v>0.1575</v>
      </c>
    </row>
    <row r="70" customFormat="false" ht="13.8" hidden="false" customHeight="false" outlineLevel="0" collapsed="false">
      <c r="A70" s="1" t="n">
        <v>44805</v>
      </c>
      <c r="B70" s="2" t="n">
        <v>418813.492822727</v>
      </c>
      <c r="C70" s="2" t="n">
        <v>0</v>
      </c>
      <c r="D70" s="2" t="n">
        <v>0</v>
      </c>
      <c r="E70" s="2" t="n">
        <v>1</v>
      </c>
      <c r="F70" s="2" t="n">
        <v>0</v>
      </c>
      <c r="G70" s="2" t="n">
        <v>0</v>
      </c>
      <c r="H70" s="2" t="n">
        <f aca="false">0.35*E70 + 0.25*G70+0.2*C70+0.1 * D70 + 0.1 * F70</f>
        <v>0.35</v>
      </c>
      <c r="I70" s="2" t="n">
        <v>1</v>
      </c>
      <c r="J70" s="2" t="n">
        <v>1</v>
      </c>
      <c r="K70" s="2" t="n">
        <v>1</v>
      </c>
      <c r="L70" s="2" t="n">
        <v>0</v>
      </c>
      <c r="M70" s="2" t="n">
        <v>0</v>
      </c>
      <c r="N70" s="2" t="n">
        <f aca="false">0.35*I70+0.25*K70+0.15*J70+0.15*L70+0.1 * M70</f>
        <v>0.75</v>
      </c>
      <c r="O70" s="2" t="n">
        <v>1</v>
      </c>
      <c r="P70" s="2" t="n">
        <v>1</v>
      </c>
      <c r="Q70" s="2" t="n">
        <v>0</v>
      </c>
      <c r="R70" s="2" t="n">
        <v>0</v>
      </c>
      <c r="S70" s="2" t="n">
        <v>0</v>
      </c>
      <c r="T70" s="3" t="n">
        <f aca="false">0.35*O70+0.25*P70+0.2 * R70 + 0.1*Q70 + 0.1 * S70</f>
        <v>0.6</v>
      </c>
      <c r="U70" s="3" t="n">
        <f aca="false">H70*N70</f>
        <v>0.2625</v>
      </c>
      <c r="V70" s="3" t="n">
        <f aca="false">H70*T70</f>
        <v>0.21</v>
      </c>
      <c r="W70" s="3" t="n">
        <f aca="false">N70*T70</f>
        <v>0.45</v>
      </c>
      <c r="X70" s="3" t="n">
        <f aca="false">H70*N70*T70</f>
        <v>0.1575</v>
      </c>
    </row>
    <row r="71" customFormat="false" ht="13.8" hidden="false" customHeight="false" outlineLevel="0" collapsed="false">
      <c r="A71" s="1" t="n">
        <v>44835</v>
      </c>
      <c r="B71" s="2" t="n">
        <v>409005.505657142</v>
      </c>
      <c r="C71" s="2" t="n">
        <v>0</v>
      </c>
      <c r="D71" s="2" t="n">
        <v>0</v>
      </c>
      <c r="E71" s="2" t="n">
        <v>1</v>
      </c>
      <c r="F71" s="2" t="n">
        <v>0</v>
      </c>
      <c r="G71" s="2" t="n">
        <v>0</v>
      </c>
      <c r="H71" s="2" t="n">
        <f aca="false">0.35*E71 + 0.25*G71+0.2*C71+0.1 * D71 + 0.1 * F71</f>
        <v>0.35</v>
      </c>
      <c r="I71" s="2" t="n">
        <v>1</v>
      </c>
      <c r="J71" s="2" t="n">
        <v>1</v>
      </c>
      <c r="K71" s="2" t="n">
        <v>1</v>
      </c>
      <c r="L71" s="2" t="n">
        <v>0</v>
      </c>
      <c r="M71" s="2" t="n">
        <v>0</v>
      </c>
      <c r="N71" s="2" t="n">
        <f aca="false">0.35*I71+0.25*K71+0.15*J71+0.15*L71+0.1 * M71</f>
        <v>0.75</v>
      </c>
      <c r="O71" s="2" t="n">
        <v>1</v>
      </c>
      <c r="P71" s="2" t="n">
        <v>1</v>
      </c>
      <c r="Q71" s="2" t="n">
        <v>0</v>
      </c>
      <c r="R71" s="2" t="n">
        <v>0</v>
      </c>
      <c r="S71" s="2" t="n">
        <v>0</v>
      </c>
      <c r="T71" s="3" t="n">
        <f aca="false">0.35*O71+0.25*P71+0.2 * R71 + 0.1*Q71 + 0.1 * S71</f>
        <v>0.6</v>
      </c>
      <c r="U71" s="3" t="n">
        <f aca="false">H71*N71</f>
        <v>0.2625</v>
      </c>
      <c r="V71" s="3" t="n">
        <f aca="false">H71*T71</f>
        <v>0.21</v>
      </c>
      <c r="W71" s="3" t="n">
        <f aca="false">N71*T71</f>
        <v>0.45</v>
      </c>
      <c r="X71" s="3" t="n">
        <f aca="false">H71*N71*T71</f>
        <v>0.1575</v>
      </c>
    </row>
    <row r="72" customFormat="false" ht="13.8" hidden="false" customHeight="false" outlineLevel="0" collapsed="false">
      <c r="A72" s="1" t="n">
        <v>44866</v>
      </c>
      <c r="B72" s="2" t="n">
        <v>409954.016677272</v>
      </c>
      <c r="C72" s="2" t="n">
        <v>0</v>
      </c>
      <c r="D72" s="2" t="n">
        <v>0</v>
      </c>
      <c r="E72" s="2" t="n">
        <v>1</v>
      </c>
      <c r="F72" s="2" t="n">
        <v>0</v>
      </c>
      <c r="G72" s="2" t="n">
        <v>0</v>
      </c>
      <c r="H72" s="2" t="n">
        <f aca="false">0.35*E72 + 0.25*G72+0.2*C72+0.1 * D72 + 0.1 * F72</f>
        <v>0.35</v>
      </c>
      <c r="I72" s="2" t="n">
        <v>1</v>
      </c>
      <c r="J72" s="2" t="n">
        <v>1</v>
      </c>
      <c r="K72" s="2" t="n">
        <v>1</v>
      </c>
      <c r="L72" s="2" t="n">
        <v>0</v>
      </c>
      <c r="M72" s="2" t="n">
        <v>0</v>
      </c>
      <c r="N72" s="2" t="n">
        <f aca="false">0.35*I72+0.25*K72+0.15*J72+0.15*L72+0.1 * M72</f>
        <v>0.75</v>
      </c>
      <c r="O72" s="2" t="n">
        <v>1</v>
      </c>
      <c r="P72" s="2" t="n">
        <v>1</v>
      </c>
      <c r="Q72" s="2" t="n">
        <v>0</v>
      </c>
      <c r="R72" s="2" t="n">
        <v>0</v>
      </c>
      <c r="S72" s="2" t="n">
        <v>0</v>
      </c>
      <c r="T72" s="3" t="n">
        <f aca="false">0.35*O72+0.25*P72+0.2 * R72 + 0.1*Q72 + 0.1 * S72</f>
        <v>0.6</v>
      </c>
      <c r="U72" s="3" t="n">
        <f aca="false">H72*N72</f>
        <v>0.2625</v>
      </c>
      <c r="V72" s="3" t="n">
        <f aca="false">H72*T72</f>
        <v>0.21</v>
      </c>
      <c r="W72" s="3" t="n">
        <f aca="false">N72*T72</f>
        <v>0.45</v>
      </c>
      <c r="X72" s="3" t="n">
        <f aca="false">H72*N72*T72</f>
        <v>0.1575</v>
      </c>
    </row>
    <row r="73" customFormat="false" ht="13.8" hidden="false" customHeight="false" outlineLevel="0" collapsed="false">
      <c r="A73" s="1" t="n">
        <v>44896</v>
      </c>
      <c r="B73" s="2" t="n">
        <v>421882.454940909</v>
      </c>
      <c r="C73" s="2" t="n">
        <v>0</v>
      </c>
      <c r="D73" s="2" t="n">
        <v>0</v>
      </c>
      <c r="E73" s="2" t="n">
        <v>1</v>
      </c>
      <c r="F73" s="2" t="n">
        <v>0</v>
      </c>
      <c r="G73" s="2" t="n">
        <v>0</v>
      </c>
      <c r="H73" s="2" t="n">
        <f aca="false">0.35*E73 + 0.25*G73+0.2*C73+0.1 * D73 + 0.1 * F73</f>
        <v>0.35</v>
      </c>
      <c r="I73" s="2" t="n">
        <v>1</v>
      </c>
      <c r="J73" s="2" t="n">
        <v>1</v>
      </c>
      <c r="K73" s="2" t="n">
        <v>1</v>
      </c>
      <c r="L73" s="2" t="n">
        <v>0</v>
      </c>
      <c r="M73" s="2" t="n">
        <v>0</v>
      </c>
      <c r="N73" s="2" t="n">
        <f aca="false">0.35*I73+0.25*K73+0.15*J73+0.15*L73+0.1 * M73</f>
        <v>0.75</v>
      </c>
      <c r="O73" s="2" t="n">
        <v>1</v>
      </c>
      <c r="P73" s="2" t="n">
        <v>1</v>
      </c>
      <c r="Q73" s="2" t="n">
        <v>0</v>
      </c>
      <c r="R73" s="2" t="n">
        <v>0</v>
      </c>
      <c r="S73" s="2" t="n">
        <v>0</v>
      </c>
      <c r="T73" s="3" t="n">
        <f aca="false">0.35*O73+0.25*P73+0.2 * R73 + 0.1*Q73 + 0.1 * S73</f>
        <v>0.6</v>
      </c>
      <c r="U73" s="3" t="n">
        <f aca="false">H73*N73</f>
        <v>0.2625</v>
      </c>
      <c r="V73" s="3" t="n">
        <f aca="false">H73*T73</f>
        <v>0.21</v>
      </c>
      <c r="W73" s="3" t="n">
        <f aca="false">N73*T73</f>
        <v>0.45</v>
      </c>
      <c r="X73" s="3" t="n">
        <f aca="false">H73*N73*T73</f>
        <v>0.1575</v>
      </c>
    </row>
    <row r="74" customFormat="false" ht="13.8" hidden="false" customHeight="false" outlineLevel="0" collapsed="false">
      <c r="A74" s="1" t="n">
        <v>44927</v>
      </c>
      <c r="B74" s="2" t="n">
        <v>430097.822781818</v>
      </c>
      <c r="C74" s="2" t="n">
        <v>0</v>
      </c>
      <c r="D74" s="2" t="n">
        <v>0</v>
      </c>
      <c r="E74" s="2" t="n">
        <v>1</v>
      </c>
      <c r="F74" s="2" t="n">
        <v>0</v>
      </c>
      <c r="G74" s="2" t="n">
        <v>0</v>
      </c>
      <c r="H74" s="2" t="n">
        <f aca="false">0.35*E74 + 0.25*G74+0.2*C74+0.1 * D74 + 0.1 * F74</f>
        <v>0.35</v>
      </c>
      <c r="I74" s="2" t="n">
        <v>0</v>
      </c>
      <c r="J74" s="2" t="n">
        <v>1</v>
      </c>
      <c r="K74" s="2" t="n">
        <v>1</v>
      </c>
      <c r="L74" s="2" t="n">
        <v>0</v>
      </c>
      <c r="M74" s="2" t="n">
        <v>0</v>
      </c>
      <c r="N74" s="2" t="n">
        <f aca="false">0.35*I74+0.25*K74+0.15*J74+0.15*L74+0.1 * M74</f>
        <v>0.4</v>
      </c>
      <c r="O74" s="2" t="n">
        <v>0</v>
      </c>
      <c r="P74" s="2" t="n">
        <v>1</v>
      </c>
      <c r="Q74" s="2" t="n">
        <v>0</v>
      </c>
      <c r="R74" s="2" t="n">
        <v>1</v>
      </c>
      <c r="S74" s="2" t="n">
        <v>0</v>
      </c>
      <c r="T74" s="3" t="n">
        <f aca="false">0.35*O74+0.25*P74+0.2 * R74 + 0.1*Q74 + 0.1 * S74</f>
        <v>0.45</v>
      </c>
      <c r="U74" s="3" t="n">
        <f aca="false">H74*N74</f>
        <v>0.14</v>
      </c>
      <c r="V74" s="3" t="n">
        <f aca="false">H74*T74</f>
        <v>0.1575</v>
      </c>
      <c r="W74" s="3" t="n">
        <f aca="false">N74*T74</f>
        <v>0.18</v>
      </c>
      <c r="X74" s="3" t="n">
        <f aca="false">H74*N74*T74</f>
        <v>0.063</v>
      </c>
    </row>
    <row r="75" customFormat="false" ht="13.8" hidden="false" customHeight="false" outlineLevel="0" collapsed="false">
      <c r="A75" s="1" t="n">
        <v>44958</v>
      </c>
      <c r="B75" s="2" t="n">
        <v>416103.53512</v>
      </c>
      <c r="C75" s="2" t="n">
        <v>0</v>
      </c>
      <c r="D75" s="2" t="n">
        <v>0</v>
      </c>
      <c r="E75" s="2" t="n">
        <v>1</v>
      </c>
      <c r="F75" s="2" t="n">
        <v>0</v>
      </c>
      <c r="G75" s="2" t="n">
        <v>1</v>
      </c>
      <c r="H75" s="2" t="n">
        <f aca="false">0.35*E75 + 0.25*G75+0.2*C75+0.1 * D75 + 0.1 * F75</f>
        <v>0.6</v>
      </c>
      <c r="I75" s="2" t="n">
        <v>0</v>
      </c>
      <c r="J75" s="2" t="n">
        <v>1</v>
      </c>
      <c r="K75" s="2" t="n">
        <v>1</v>
      </c>
      <c r="L75" s="2" t="n">
        <v>0</v>
      </c>
      <c r="M75" s="2" t="n">
        <v>0</v>
      </c>
      <c r="N75" s="2" t="n">
        <f aca="false">0.35*I75+0.25*K75+0.15*J75+0.15*L75+0.1 * M75</f>
        <v>0.4</v>
      </c>
      <c r="O75" s="2" t="n">
        <v>0</v>
      </c>
      <c r="P75" s="2" t="n">
        <v>0</v>
      </c>
      <c r="Q75" s="2" t="n">
        <v>0</v>
      </c>
      <c r="R75" s="2" t="n">
        <v>1</v>
      </c>
      <c r="S75" s="2" t="n">
        <v>0</v>
      </c>
      <c r="T75" s="3" t="n">
        <f aca="false">0.35*O75+0.25*P75+0.2 * R75 + 0.1*Q75 + 0.1 * S75</f>
        <v>0.2</v>
      </c>
      <c r="U75" s="3" t="n">
        <f aca="false">H75*N75</f>
        <v>0.24</v>
      </c>
      <c r="V75" s="3" t="n">
        <f aca="false">H75*T75</f>
        <v>0.12</v>
      </c>
      <c r="W75" s="3" t="n">
        <f aca="false">N75*T75</f>
        <v>0.08</v>
      </c>
      <c r="X75" s="3" t="n">
        <f aca="false">H75*N75*T75</f>
        <v>0.048</v>
      </c>
    </row>
    <row r="76" customFormat="false" ht="13.8" hidden="false" customHeight="false" outlineLevel="0" collapsed="false">
      <c r="A76" s="1" t="n">
        <v>44986</v>
      </c>
      <c r="B76" s="2" t="n">
        <v>354118.308269565</v>
      </c>
      <c r="C76" s="2" t="n">
        <v>0</v>
      </c>
      <c r="D76" s="2" t="n">
        <v>0</v>
      </c>
      <c r="E76" s="2" t="n">
        <v>1</v>
      </c>
      <c r="F76" s="2" t="n">
        <v>0</v>
      </c>
      <c r="G76" s="2" t="n">
        <v>1</v>
      </c>
      <c r="H76" s="2" t="n">
        <f aca="false">0.35*E76 + 0.25*G76+0.2*C76+0.1 * D76 + 0.1 * F76</f>
        <v>0.6</v>
      </c>
      <c r="I76" s="2" t="n">
        <v>0</v>
      </c>
      <c r="J76" s="2" t="n">
        <v>1</v>
      </c>
      <c r="K76" s="2" t="n">
        <v>1</v>
      </c>
      <c r="L76" s="2" t="n">
        <v>1</v>
      </c>
      <c r="M76" s="2" t="n">
        <v>0</v>
      </c>
      <c r="N76" s="2" t="n">
        <f aca="false">0.35*I76+0.25*K76+0.15*J76+0.15*L76+0.1 * M76</f>
        <v>0.55</v>
      </c>
      <c r="O76" s="2" t="n">
        <v>0</v>
      </c>
      <c r="P76" s="2" t="n">
        <v>0</v>
      </c>
      <c r="Q76" s="2" t="n">
        <v>0</v>
      </c>
      <c r="R76" s="2" t="n">
        <v>1</v>
      </c>
      <c r="S76" s="2" t="n">
        <v>0</v>
      </c>
      <c r="T76" s="3" t="n">
        <f aca="false">0.35*O76+0.25*P76+0.2 * R76 + 0.1*Q76 + 0.1 * S76</f>
        <v>0.2</v>
      </c>
      <c r="U76" s="3" t="n">
        <f aca="false">H76*N76</f>
        <v>0.33</v>
      </c>
      <c r="V76" s="3" t="n">
        <f aca="false">H76*T76</f>
        <v>0.12</v>
      </c>
      <c r="W76" s="3" t="n">
        <f aca="false">N76*T76</f>
        <v>0.11</v>
      </c>
      <c r="X76" s="3" t="n">
        <f aca="false">H76*N76*T76</f>
        <v>0.066</v>
      </c>
    </row>
    <row r="77" customFormat="false" ht="13.8" hidden="false" customHeight="false" outlineLevel="0" collapsed="false">
      <c r="A77" s="1" t="n">
        <v>45017</v>
      </c>
      <c r="B77" s="2" t="n">
        <v>289990.748865</v>
      </c>
      <c r="C77" s="2" t="n">
        <v>0</v>
      </c>
      <c r="D77" s="2" t="n">
        <v>0</v>
      </c>
      <c r="E77" s="2" t="n">
        <v>1</v>
      </c>
      <c r="F77" s="2" t="n">
        <v>0</v>
      </c>
      <c r="G77" s="2" t="n">
        <v>1</v>
      </c>
      <c r="H77" s="2" t="n">
        <f aca="false">0.35*E77 + 0.25*G77+0.2*C77+0.1 * D77 + 0.1 * F77</f>
        <v>0.6</v>
      </c>
      <c r="I77" s="2" t="n">
        <v>0</v>
      </c>
      <c r="J77" s="2" t="n">
        <v>1</v>
      </c>
      <c r="K77" s="2" t="n">
        <v>1</v>
      </c>
      <c r="L77" s="2" t="n">
        <v>1</v>
      </c>
      <c r="M77" s="2" t="n">
        <v>0</v>
      </c>
      <c r="N77" s="2" t="n">
        <f aca="false">0.35*I77+0.25*K77+0.15*J77+0.15*L77+0.1 * M77</f>
        <v>0.55</v>
      </c>
      <c r="O77" s="2" t="n">
        <v>0</v>
      </c>
      <c r="P77" s="2" t="n">
        <v>0</v>
      </c>
      <c r="Q77" s="2" t="n">
        <v>0</v>
      </c>
      <c r="R77" s="2" t="n">
        <v>1</v>
      </c>
      <c r="S77" s="2" t="n">
        <v>0</v>
      </c>
      <c r="T77" s="3" t="n">
        <f aca="false">0.35*O77+0.25*P77+0.2 * R77 + 0.1*Q77 + 0.1 * S77</f>
        <v>0.2</v>
      </c>
      <c r="U77" s="3" t="n">
        <f aca="false">H77*N77</f>
        <v>0.33</v>
      </c>
      <c r="V77" s="3" t="n">
        <f aca="false">H77*T77</f>
        <v>0.12</v>
      </c>
      <c r="W77" s="3" t="n">
        <f aca="false">N77*T77</f>
        <v>0.11</v>
      </c>
      <c r="X77" s="3" t="n">
        <f aca="false">H77*N77*T77</f>
        <v>0.066</v>
      </c>
    </row>
    <row r="78" customFormat="false" ht="13.8" hidden="false" customHeight="false" outlineLevel="0" collapsed="false">
      <c r="A78" s="1" t="n">
        <v>45047</v>
      </c>
      <c r="B78" s="2" t="n">
        <v>224371.317926087</v>
      </c>
      <c r="C78" s="2" t="n">
        <v>0</v>
      </c>
      <c r="D78" s="2" t="n">
        <v>0</v>
      </c>
      <c r="E78" s="2" t="n">
        <v>1</v>
      </c>
      <c r="F78" s="2" t="n">
        <v>0</v>
      </c>
      <c r="G78" s="2" t="n">
        <v>1</v>
      </c>
      <c r="H78" s="2" t="n">
        <f aca="false">0.35*E78 + 0.25*G78+0.2*C78+0.1 * D78 + 0.1 * F78</f>
        <v>0.6</v>
      </c>
      <c r="I78" s="2" t="n">
        <v>0</v>
      </c>
      <c r="J78" s="2" t="n">
        <v>1</v>
      </c>
      <c r="K78" s="2" t="n">
        <v>1</v>
      </c>
      <c r="L78" s="2" t="n">
        <v>1</v>
      </c>
      <c r="M78" s="2" t="n">
        <v>0</v>
      </c>
      <c r="N78" s="2" t="n">
        <f aca="false">0.35*I78+0.25*K78+0.15*J78+0.15*L78+0.1 * M78</f>
        <v>0.55</v>
      </c>
      <c r="O78" s="2" t="n">
        <v>0</v>
      </c>
      <c r="P78" s="2" t="n">
        <v>0</v>
      </c>
      <c r="Q78" s="2" t="n">
        <v>0</v>
      </c>
      <c r="R78" s="2" t="n">
        <v>1</v>
      </c>
      <c r="S78" s="2" t="n">
        <v>0</v>
      </c>
      <c r="T78" s="3" t="n">
        <f aca="false">0.35*O78+0.25*P78+0.2 * R78 + 0.1*Q78 + 0.1 * S78</f>
        <v>0.2</v>
      </c>
      <c r="U78" s="3" t="n">
        <f aca="false">H78*N78</f>
        <v>0.33</v>
      </c>
      <c r="V78" s="3" t="n">
        <f aca="false">H78*T78</f>
        <v>0.12</v>
      </c>
      <c r="W78" s="3" t="n">
        <f aca="false">N78*T78</f>
        <v>0.11</v>
      </c>
      <c r="X78" s="3" t="n">
        <f aca="false">H78*N78*T78</f>
        <v>0.066</v>
      </c>
    </row>
    <row r="79" customFormat="false" ht="13.8" hidden="false" customHeight="false" outlineLevel="0" collapsed="false">
      <c r="A79" s="1" t="n">
        <v>45078</v>
      </c>
      <c r="B79" s="2" t="n">
        <v>264872.027945454</v>
      </c>
      <c r="C79" s="2" t="n">
        <v>0</v>
      </c>
      <c r="D79" s="2" t="n">
        <v>0</v>
      </c>
      <c r="E79" s="2" t="n">
        <v>1</v>
      </c>
      <c r="F79" s="2" t="n">
        <v>0</v>
      </c>
      <c r="G79" s="2" t="n">
        <v>1</v>
      </c>
      <c r="H79" s="2" t="n">
        <f aca="false">0.35*E79 + 0.25*G79+0.2*C79+0.1 * D79 + 0.1 * F79</f>
        <v>0.6</v>
      </c>
      <c r="I79" s="2" t="n">
        <v>0</v>
      </c>
      <c r="J79" s="2" t="n">
        <v>1</v>
      </c>
      <c r="K79" s="2" t="n">
        <v>1</v>
      </c>
      <c r="L79" s="2" t="n">
        <v>1</v>
      </c>
      <c r="M79" s="2" t="n">
        <v>0</v>
      </c>
      <c r="N79" s="2" t="n">
        <f aca="false">0.35*I79+0.25*K79+0.15*J79+0.15*L79+0.1 * M79</f>
        <v>0.55</v>
      </c>
      <c r="O79" s="2" t="n">
        <v>0</v>
      </c>
      <c r="P79" s="2" t="n">
        <v>0</v>
      </c>
      <c r="Q79" s="2" t="n">
        <v>0</v>
      </c>
      <c r="R79" s="2" t="n">
        <v>1</v>
      </c>
      <c r="S79" s="2" t="n">
        <v>1</v>
      </c>
      <c r="T79" s="3" t="n">
        <f aca="false">0.35*O79+0.25*P79+0.2 * R79 + 0.1*Q79 + 0.1 * S79</f>
        <v>0.3</v>
      </c>
      <c r="U79" s="3" t="n">
        <f aca="false">H79*N79</f>
        <v>0.33</v>
      </c>
      <c r="V79" s="3" t="n">
        <f aca="false">H79*T79</f>
        <v>0.18</v>
      </c>
      <c r="W79" s="3" t="n">
        <f aca="false">N79*T79</f>
        <v>0.165</v>
      </c>
      <c r="X79" s="3" t="n">
        <f aca="false">H79*N79*T79</f>
        <v>0.099</v>
      </c>
    </row>
    <row r="80" customFormat="false" ht="13.8" hidden="false" customHeight="false" outlineLevel="0" collapsed="false">
      <c r="A80" s="1" t="n">
        <v>45108</v>
      </c>
      <c r="B80" s="2" t="n">
        <v>268325.571680952</v>
      </c>
      <c r="C80" s="2" t="n">
        <v>0</v>
      </c>
      <c r="D80" s="2" t="n">
        <v>0</v>
      </c>
      <c r="E80" s="2" t="n">
        <v>1</v>
      </c>
      <c r="F80" s="2" t="n">
        <v>0</v>
      </c>
      <c r="G80" s="2" t="n">
        <v>1</v>
      </c>
      <c r="H80" s="2" t="n">
        <f aca="false">0.35*E80 + 0.25*G80+0.2*C80+0.1 * D80 + 0.1 * F80</f>
        <v>0.6</v>
      </c>
      <c r="I80" s="2" t="n">
        <v>0</v>
      </c>
      <c r="J80" s="2" t="n">
        <v>1</v>
      </c>
      <c r="K80" s="2" t="n">
        <v>1</v>
      </c>
      <c r="L80" s="2" t="n">
        <v>1</v>
      </c>
      <c r="M80" s="2" t="n">
        <v>0</v>
      </c>
      <c r="N80" s="2" t="n">
        <f aca="false">0.35*I80+0.25*K80+0.15*J80+0.15*L80+0.1 * M80</f>
        <v>0.55</v>
      </c>
      <c r="O80" s="2" t="n">
        <v>0</v>
      </c>
      <c r="P80" s="2" t="n">
        <v>0</v>
      </c>
      <c r="Q80" s="2" t="n">
        <v>0</v>
      </c>
      <c r="R80" s="2" t="n">
        <v>1</v>
      </c>
      <c r="S80" s="2" t="n">
        <v>1</v>
      </c>
      <c r="T80" s="3" t="n">
        <f aca="false">0.35*O80+0.25*P80+0.2 * R80 + 0.1*Q80 + 0.1 * S80</f>
        <v>0.3</v>
      </c>
      <c r="U80" s="3" t="n">
        <f aca="false">H80*N80</f>
        <v>0.33</v>
      </c>
      <c r="V80" s="3" t="n">
        <f aca="false">H80*T80</f>
        <v>0.18</v>
      </c>
      <c r="W80" s="3" t="n">
        <f aca="false">N80*T80</f>
        <v>0.165</v>
      </c>
      <c r="X80" s="3" t="n">
        <f aca="false">H80*N80*T80</f>
        <v>0.099</v>
      </c>
    </row>
    <row r="81" customFormat="false" ht="13.8" hidden="false" customHeight="false" outlineLevel="0" collapsed="false">
      <c r="A81" s="1" t="n">
        <v>45139</v>
      </c>
      <c r="B81" s="2" t="n">
        <v>248534.431721739</v>
      </c>
      <c r="C81" s="2" t="n">
        <v>0</v>
      </c>
      <c r="D81" s="2" t="n">
        <v>0</v>
      </c>
      <c r="E81" s="2" t="n">
        <v>1</v>
      </c>
      <c r="F81" s="2" t="n">
        <v>0</v>
      </c>
      <c r="G81" s="2" t="n">
        <v>1</v>
      </c>
      <c r="H81" s="2" t="n">
        <f aca="false">0.35*E81 + 0.25*G81+0.2*C81+0.1 * D81 + 0.1 * F81</f>
        <v>0.6</v>
      </c>
      <c r="I81" s="2" t="n">
        <v>0</v>
      </c>
      <c r="J81" s="2" t="n">
        <v>1</v>
      </c>
      <c r="K81" s="2" t="n">
        <v>1</v>
      </c>
      <c r="L81" s="2" t="n">
        <v>1</v>
      </c>
      <c r="M81" s="2" t="n">
        <v>0</v>
      </c>
      <c r="N81" s="2" t="n">
        <f aca="false">0.35*I81+0.25*K81+0.15*J81+0.15*L81+0.1 * M81</f>
        <v>0.55</v>
      </c>
      <c r="O81" s="2" t="n">
        <v>0</v>
      </c>
      <c r="P81" s="2" t="n">
        <v>0</v>
      </c>
      <c r="Q81" s="2" t="n">
        <v>0</v>
      </c>
      <c r="R81" s="2" t="n">
        <v>1</v>
      </c>
      <c r="S81" s="2" t="n">
        <v>1</v>
      </c>
      <c r="T81" s="3" t="n">
        <f aca="false">0.35*O81+0.25*P81+0.2 * R81 + 0.1*Q81 + 0.1 * S81</f>
        <v>0.3</v>
      </c>
      <c r="U81" s="3" t="n">
        <f aca="false">H81*N81</f>
        <v>0.33</v>
      </c>
      <c r="V81" s="3" t="n">
        <f aca="false">H81*T81</f>
        <v>0.18</v>
      </c>
      <c r="W81" s="3" t="n">
        <f aca="false">N81*T81</f>
        <v>0.165</v>
      </c>
      <c r="X81" s="3" t="n">
        <f aca="false">H81*N81*T81</f>
        <v>0.099</v>
      </c>
    </row>
    <row r="82" customFormat="false" ht="13.8" hidden="false" customHeight="false" outlineLevel="0" collapsed="false">
      <c r="A82" s="1" t="n">
        <v>45170</v>
      </c>
      <c r="B82" s="2" t="n">
        <v>207135.508480952</v>
      </c>
      <c r="C82" s="2" t="n">
        <v>0</v>
      </c>
      <c r="D82" s="2" t="n">
        <v>0</v>
      </c>
      <c r="E82" s="2" t="n">
        <v>1</v>
      </c>
      <c r="F82" s="2" t="n">
        <v>0</v>
      </c>
      <c r="G82" s="2" t="n">
        <v>1</v>
      </c>
      <c r="H82" s="2" t="n">
        <f aca="false">0.35*E82 + 0.25*G82+0.2*C82+0.1 * D82 + 0.1 * F82</f>
        <v>0.6</v>
      </c>
      <c r="I82" s="2" t="n">
        <v>0</v>
      </c>
      <c r="J82" s="2" t="n">
        <v>1</v>
      </c>
      <c r="K82" s="2" t="n">
        <v>1</v>
      </c>
      <c r="L82" s="2" t="n">
        <v>1</v>
      </c>
      <c r="M82" s="2" t="n">
        <v>0</v>
      </c>
      <c r="N82" s="2" t="n">
        <f aca="false">0.35*I82+0.25*K82+0.15*J82+0.15*L82+0.1 * M82</f>
        <v>0.55</v>
      </c>
      <c r="O82" s="2" t="n">
        <v>0</v>
      </c>
      <c r="P82" s="2" t="n">
        <v>0</v>
      </c>
      <c r="Q82" s="2" t="n">
        <v>0</v>
      </c>
      <c r="R82" s="2" t="n">
        <v>1</v>
      </c>
      <c r="S82" s="2" t="n">
        <v>1</v>
      </c>
      <c r="T82" s="3" t="n">
        <f aca="false">0.35*O82+0.25*P82+0.2 * R82 + 0.1*Q82 + 0.1 * S82</f>
        <v>0.3</v>
      </c>
      <c r="U82" s="3" t="n">
        <f aca="false">H82*N82</f>
        <v>0.33</v>
      </c>
      <c r="V82" s="3" t="n">
        <f aca="false">H82*T82</f>
        <v>0.18</v>
      </c>
      <c r="W82" s="3" t="n">
        <f aca="false">N82*T82</f>
        <v>0.165</v>
      </c>
      <c r="X82" s="3" t="n">
        <f aca="false">H82*N82*T82</f>
        <v>0.099</v>
      </c>
    </row>
    <row r="83" customFormat="false" ht="13.8" hidden="false" customHeight="false" outlineLevel="0" collapsed="false">
      <c r="A83" s="1" t="n">
        <v>45200</v>
      </c>
      <c r="B83" s="2" t="n">
        <v>179183.32165909</v>
      </c>
      <c r="C83" s="2" t="n">
        <v>0</v>
      </c>
      <c r="D83" s="2" t="n">
        <v>0</v>
      </c>
      <c r="E83" s="2" t="n">
        <v>1</v>
      </c>
      <c r="F83" s="2" t="n">
        <v>1</v>
      </c>
      <c r="G83" s="2" t="n">
        <v>1</v>
      </c>
      <c r="H83" s="2" t="n">
        <f aca="false">0.35*E83 + 0.25*G83+0.2*C83+0.1 * D83 + 0.1 * F83</f>
        <v>0.7</v>
      </c>
      <c r="I83" s="2" t="n">
        <v>0</v>
      </c>
      <c r="J83" s="2" t="n">
        <v>1</v>
      </c>
      <c r="K83" s="2" t="n">
        <v>1</v>
      </c>
      <c r="L83" s="2" t="n">
        <v>1</v>
      </c>
      <c r="M83" s="2" t="n">
        <v>0</v>
      </c>
      <c r="N83" s="2" t="n">
        <f aca="false">0.35*I83+0.25*K83+0.15*J83+0.15*L83+0.1 * M83</f>
        <v>0.55</v>
      </c>
      <c r="O83" s="2" t="n">
        <v>0</v>
      </c>
      <c r="P83" s="2" t="n">
        <v>0</v>
      </c>
      <c r="Q83" s="2" t="n">
        <v>0</v>
      </c>
      <c r="R83" s="2" t="n">
        <v>1</v>
      </c>
      <c r="S83" s="2" t="n">
        <v>1</v>
      </c>
      <c r="T83" s="3" t="n">
        <f aca="false">0.35*O83+0.25*P83+0.2 * R83 + 0.1*Q83 + 0.1 * S83</f>
        <v>0.3</v>
      </c>
      <c r="U83" s="3" t="n">
        <f aca="false">H83*N83</f>
        <v>0.385</v>
      </c>
      <c r="V83" s="3" t="n">
        <f aca="false">H83*T83</f>
        <v>0.21</v>
      </c>
      <c r="W83" s="3" t="n">
        <f aca="false">N83*T83</f>
        <v>0.165</v>
      </c>
      <c r="X83" s="3" t="n">
        <f aca="false">H83*N83*T83</f>
        <v>0.1155</v>
      </c>
    </row>
    <row r="84" customFormat="false" ht="13.8" hidden="false" customHeight="false" outlineLevel="0" collapsed="false">
      <c r="A84" s="1" t="n">
        <v>45231</v>
      </c>
      <c r="B84" s="2" t="n">
        <v>169803.639040909</v>
      </c>
      <c r="C84" s="2" t="n">
        <v>0</v>
      </c>
      <c r="D84" s="2" t="n">
        <v>0</v>
      </c>
      <c r="E84" s="2" t="n">
        <v>1</v>
      </c>
      <c r="F84" s="2" t="n">
        <v>1</v>
      </c>
      <c r="G84" s="2" t="n">
        <v>1</v>
      </c>
      <c r="H84" s="2" t="n">
        <f aca="false">0.35*E84 + 0.25*G84+0.2*C84+0.1 * D84 + 0.1 * F84</f>
        <v>0.7</v>
      </c>
      <c r="I84" s="2" t="n">
        <v>0</v>
      </c>
      <c r="J84" s="2" t="n">
        <v>1</v>
      </c>
      <c r="K84" s="2" t="n">
        <v>1</v>
      </c>
      <c r="L84" s="2" t="n">
        <v>1</v>
      </c>
      <c r="M84" s="2" t="n">
        <v>0</v>
      </c>
      <c r="N84" s="2" t="n">
        <f aca="false">0.35*I84+0.25*K84+0.15*J84+0.15*L84+0.1 * M84</f>
        <v>0.55</v>
      </c>
      <c r="O84" s="2" t="n">
        <v>0</v>
      </c>
      <c r="P84" s="2" t="n">
        <v>0</v>
      </c>
      <c r="Q84" s="2" t="n">
        <v>0</v>
      </c>
      <c r="R84" s="2" t="n">
        <v>1</v>
      </c>
      <c r="S84" s="2" t="n">
        <v>1</v>
      </c>
      <c r="T84" s="3" t="n">
        <f aca="false">0.35*O84+0.25*P84+0.2 * R84 + 0.1*Q84 + 0.1 * S84</f>
        <v>0.3</v>
      </c>
      <c r="U84" s="3" t="n">
        <f aca="false">H84*N84</f>
        <v>0.385</v>
      </c>
      <c r="V84" s="3" t="n">
        <f aca="false">H84*T84</f>
        <v>0.21</v>
      </c>
      <c r="W84" s="3" t="n">
        <f aca="false">N84*T84</f>
        <v>0.165</v>
      </c>
      <c r="X84" s="3" t="n">
        <f aca="false">H84*N84*T84</f>
        <v>0.1155</v>
      </c>
    </row>
    <row r="85" customFormat="false" ht="13.8" hidden="false" customHeight="false" outlineLevel="0" collapsed="false">
      <c r="A85" s="1" t="n">
        <v>45261</v>
      </c>
      <c r="B85" s="2" t="n">
        <v>150633.285009523</v>
      </c>
      <c r="C85" s="2" t="n">
        <v>0</v>
      </c>
      <c r="D85" s="2" t="n">
        <v>0</v>
      </c>
      <c r="E85" s="2" t="n">
        <v>1</v>
      </c>
      <c r="F85" s="2" t="n">
        <v>1</v>
      </c>
      <c r="G85" s="2" t="n">
        <v>1</v>
      </c>
      <c r="H85" s="2" t="n">
        <f aca="false">0.35*E85 + 0.25*G85+0.2*C85+0.1 * D85 + 0.1 * F85</f>
        <v>0.7</v>
      </c>
      <c r="I85" s="2" t="n">
        <v>0</v>
      </c>
      <c r="J85" s="2" t="n">
        <v>1</v>
      </c>
      <c r="K85" s="2" t="n">
        <v>1</v>
      </c>
      <c r="L85" s="2" t="n">
        <v>1</v>
      </c>
      <c r="M85" s="2" t="n">
        <v>0</v>
      </c>
      <c r="N85" s="2" t="n">
        <f aca="false">0.35*I85+0.25*K85+0.15*J85+0.15*L85+0.1 * M85</f>
        <v>0.55</v>
      </c>
      <c r="O85" s="2" t="n">
        <v>0</v>
      </c>
      <c r="P85" s="2" t="n">
        <v>0</v>
      </c>
      <c r="Q85" s="2" t="n">
        <v>0</v>
      </c>
      <c r="R85" s="2" t="n">
        <v>1</v>
      </c>
      <c r="S85" s="2" t="n">
        <v>1</v>
      </c>
      <c r="T85" s="3" t="n">
        <f aca="false">0.35*O85+0.25*P85+0.2 * R85 + 0.1*Q85 + 0.1 * S85</f>
        <v>0.3</v>
      </c>
      <c r="U85" s="3" t="n">
        <f aca="false">H85*N85</f>
        <v>0.385</v>
      </c>
      <c r="V85" s="3" t="n">
        <f aca="false">H85*T85</f>
        <v>0.21</v>
      </c>
      <c r="W85" s="3" t="n">
        <f aca="false">N85*T85</f>
        <v>0.165</v>
      </c>
      <c r="X85" s="3" t="n">
        <f aca="false">H85*N85*T85</f>
        <v>0.1155</v>
      </c>
    </row>
    <row r="86" customFormat="false" ht="13.8" hidden="false" customHeight="false" outlineLevel="0" collapsed="false">
      <c r="A86" s="1" t="n">
        <v>45292</v>
      </c>
      <c r="B86" s="2" t="n">
        <v>122568.085021739</v>
      </c>
      <c r="C86" s="2" t="n">
        <v>0</v>
      </c>
      <c r="D86" s="2" t="n">
        <v>0</v>
      </c>
      <c r="E86" s="2" t="n">
        <v>1</v>
      </c>
      <c r="F86" s="2" t="n">
        <v>1</v>
      </c>
      <c r="G86" s="2" t="n">
        <v>1</v>
      </c>
      <c r="H86" s="2" t="n">
        <f aca="false">0.35*E86 + 0.25*G86+0.2*C86+0.1 * D86 + 0.1 * F86</f>
        <v>0.7</v>
      </c>
      <c r="I86" s="2" t="n">
        <v>0</v>
      </c>
      <c r="J86" s="2" t="n">
        <v>1</v>
      </c>
      <c r="K86" s="2" t="n">
        <v>1</v>
      </c>
      <c r="L86" s="2" t="n">
        <v>1</v>
      </c>
      <c r="M86" s="2" t="n">
        <v>1</v>
      </c>
      <c r="N86" s="2" t="n">
        <f aca="false">0.35*I86+0.25*K86+0.15*J86+0.15*L86+0.1 * M86</f>
        <v>0.65</v>
      </c>
      <c r="O86" s="2" t="n">
        <v>0</v>
      </c>
      <c r="P86" s="2" t="n">
        <v>0</v>
      </c>
      <c r="Q86" s="2" t="n">
        <v>0</v>
      </c>
      <c r="R86" s="2" t="n">
        <v>1</v>
      </c>
      <c r="S86" s="2" t="n">
        <v>1</v>
      </c>
      <c r="T86" s="3" t="n">
        <f aca="false">0.35*O86+0.25*P86+0.2 * R86 + 0.1*Q86 + 0.1 * S86</f>
        <v>0.3</v>
      </c>
      <c r="U86" s="3" t="n">
        <f aca="false">H86*N86</f>
        <v>0.455</v>
      </c>
      <c r="V86" s="3" t="n">
        <f aca="false">H86*T86</f>
        <v>0.21</v>
      </c>
      <c r="W86" s="3" t="n">
        <f aca="false">N86*T86</f>
        <v>0.195</v>
      </c>
      <c r="X86" s="3" t="n">
        <f aca="false">H86*N86*T86</f>
        <v>0.1365</v>
      </c>
    </row>
    <row r="87" customFormat="false" ht="13.8" hidden="false" customHeight="false" outlineLevel="0" collapsed="false">
      <c r="A87" s="1" t="n">
        <v>45323</v>
      </c>
      <c r="B87" s="2" t="n">
        <v>121638.052414285</v>
      </c>
      <c r="C87" s="2" t="n">
        <v>0</v>
      </c>
      <c r="D87" s="2" t="n">
        <v>0</v>
      </c>
      <c r="E87" s="2" t="n">
        <v>1</v>
      </c>
      <c r="F87" s="2" t="n">
        <v>1</v>
      </c>
      <c r="G87" s="2" t="n">
        <v>1</v>
      </c>
      <c r="H87" s="2" t="n">
        <f aca="false">0.35*E87 + 0.25*G87+0.2*C87+0.1 * D87 + 0.1 * F87</f>
        <v>0.7</v>
      </c>
      <c r="I87" s="2" t="n">
        <v>0</v>
      </c>
      <c r="J87" s="2" t="n">
        <v>1</v>
      </c>
      <c r="K87" s="2" t="n">
        <v>1</v>
      </c>
      <c r="L87" s="2" t="n">
        <v>1</v>
      </c>
      <c r="M87" s="2" t="n">
        <v>1</v>
      </c>
      <c r="N87" s="2" t="n">
        <f aca="false">0.35*I87+0.25*K87+0.15*J87+0.15*L87+0.1 * M87</f>
        <v>0.65</v>
      </c>
      <c r="O87" s="2" t="n">
        <v>0</v>
      </c>
      <c r="P87" s="2" t="n">
        <v>0</v>
      </c>
      <c r="Q87" s="2" t="n">
        <v>0</v>
      </c>
      <c r="R87" s="2" t="n">
        <v>1</v>
      </c>
      <c r="S87" s="2" t="n">
        <v>1</v>
      </c>
      <c r="T87" s="3" t="n">
        <f aca="false">0.35*O87+0.25*P87+0.2 * R87 + 0.1*Q87 + 0.1 * S87</f>
        <v>0.3</v>
      </c>
      <c r="U87" s="3" t="n">
        <f aca="false">H87*N87</f>
        <v>0.455</v>
      </c>
      <c r="V87" s="3" t="n">
        <f aca="false">H87*T87</f>
        <v>0.21</v>
      </c>
      <c r="W87" s="3" t="n">
        <f aca="false">N87*T87</f>
        <v>0.195</v>
      </c>
      <c r="X87" s="3" t="n">
        <f aca="false">H87*N87*T87</f>
        <v>0.1365</v>
      </c>
    </row>
    <row r="88" customFormat="false" ht="13.8" hidden="false" customHeight="false" outlineLevel="0" collapsed="false">
      <c r="A88" s="1" t="n">
        <v>45352</v>
      </c>
      <c r="B88" s="2" t="n">
        <v>124285.905028571</v>
      </c>
      <c r="C88" s="2" t="n">
        <v>0</v>
      </c>
      <c r="D88" s="2" t="n">
        <v>0</v>
      </c>
      <c r="E88" s="2" t="n">
        <v>1</v>
      </c>
      <c r="F88" s="2" t="n">
        <v>1</v>
      </c>
      <c r="G88" s="2" t="n">
        <v>1</v>
      </c>
      <c r="H88" s="2" t="n">
        <f aca="false">0.35*E88 + 0.25*G88+0.2*C88+0.1 * D88 + 0.1 * F88</f>
        <v>0.7</v>
      </c>
      <c r="I88" s="2" t="n">
        <v>0</v>
      </c>
      <c r="J88" s="2" t="n">
        <v>1</v>
      </c>
      <c r="K88" s="2" t="n">
        <v>1</v>
      </c>
      <c r="L88" s="2" t="n">
        <v>1</v>
      </c>
      <c r="M88" s="2" t="n">
        <v>1</v>
      </c>
      <c r="N88" s="2" t="n">
        <f aca="false">0.35*I88+0.25*K88+0.15*J88+0.15*L88+0.1 * M88</f>
        <v>0.65</v>
      </c>
      <c r="O88" s="2" t="n">
        <v>0</v>
      </c>
      <c r="P88" s="2" t="n">
        <v>0</v>
      </c>
      <c r="Q88" s="2" t="n">
        <v>0</v>
      </c>
      <c r="R88" s="2" t="n">
        <v>1</v>
      </c>
      <c r="S88" s="2" t="n">
        <v>1</v>
      </c>
      <c r="T88" s="3" t="n">
        <f aca="false">0.35*O88+0.25*P88+0.2 * R88 + 0.1*Q88 + 0.1 * S88</f>
        <v>0.3</v>
      </c>
      <c r="U88" s="3" t="n">
        <f aca="false">H88*N88</f>
        <v>0.455</v>
      </c>
      <c r="V88" s="3" t="n">
        <f aca="false">H88*T88</f>
        <v>0.21</v>
      </c>
      <c r="W88" s="3" t="n">
        <f aca="false">N88*T88</f>
        <v>0.195</v>
      </c>
      <c r="X88" s="3" t="n">
        <f aca="false">H88*N88*T88</f>
        <v>0.1365</v>
      </c>
    </row>
    <row r="89" customFormat="false" ht="13.8" hidden="false" customHeight="false" outlineLevel="0" collapsed="false">
      <c r="A89" s="1" t="n">
        <v>45383</v>
      </c>
      <c r="B89" s="2" t="n">
        <v>124327.288368181</v>
      </c>
      <c r="C89" s="2" t="n">
        <v>0</v>
      </c>
      <c r="D89" s="2" t="n">
        <v>0</v>
      </c>
      <c r="E89" s="2" t="n">
        <v>1</v>
      </c>
      <c r="F89" s="2" t="n">
        <v>1</v>
      </c>
      <c r="G89" s="2" t="n">
        <v>1</v>
      </c>
      <c r="H89" s="2" t="n">
        <f aca="false">0.35*E89 + 0.25*G89+0.2*C89+0.1 * D89 + 0.1 * F89</f>
        <v>0.7</v>
      </c>
      <c r="I89" s="2" t="n">
        <v>0</v>
      </c>
      <c r="J89" s="2" t="n">
        <v>1</v>
      </c>
      <c r="K89" s="2" t="n">
        <v>1</v>
      </c>
      <c r="L89" s="2" t="n">
        <v>1</v>
      </c>
      <c r="M89" s="2" t="n">
        <v>1</v>
      </c>
      <c r="N89" s="2" t="n">
        <f aca="false">0.35*I89+0.25*K89+0.15*J89+0.15*L89+0.1 * M89</f>
        <v>0.65</v>
      </c>
      <c r="O89" s="2" t="n">
        <v>0</v>
      </c>
      <c r="P89" s="2" t="n">
        <v>0</v>
      </c>
      <c r="Q89" s="2" t="n">
        <v>0</v>
      </c>
      <c r="R89" s="2" t="n">
        <v>1</v>
      </c>
      <c r="S89" s="2" t="n">
        <v>1</v>
      </c>
      <c r="T89" s="3" t="n">
        <f aca="false">0.35*O89+0.25*P89+0.2 * R89 + 0.1*Q89 + 0.1 * S89</f>
        <v>0.3</v>
      </c>
      <c r="U89" s="3" t="n">
        <f aca="false">H89*N89</f>
        <v>0.455</v>
      </c>
      <c r="V89" s="3" t="n">
        <f aca="false">H89*T89</f>
        <v>0.21</v>
      </c>
      <c r="W89" s="3" t="n">
        <f aca="false">N89*T89</f>
        <v>0.195</v>
      </c>
      <c r="X89" s="3" t="n">
        <f aca="false">H89*N89*T89</f>
        <v>0.1365</v>
      </c>
    </row>
    <row r="90" customFormat="false" ht="13.8" hidden="false" customHeight="false" outlineLevel="0" collapsed="false">
      <c r="A90" s="1" t="n">
        <v>45413</v>
      </c>
      <c r="B90" s="2" t="n">
        <v>124404.96097826</v>
      </c>
      <c r="C90" s="2" t="n">
        <v>0</v>
      </c>
      <c r="D90" s="2" t="n">
        <v>0</v>
      </c>
      <c r="E90" s="2" t="n">
        <v>1</v>
      </c>
      <c r="F90" s="2" t="n">
        <v>1</v>
      </c>
      <c r="G90" s="2" t="n">
        <v>1</v>
      </c>
      <c r="H90" s="2" t="n">
        <f aca="false">0.35*E90 + 0.25*G90+0.2*C90+0.1 * D90 + 0.1 * F90</f>
        <v>0.7</v>
      </c>
      <c r="I90" s="2" t="n">
        <v>0</v>
      </c>
      <c r="J90" s="2" t="n">
        <v>1</v>
      </c>
      <c r="K90" s="2" t="n">
        <v>1</v>
      </c>
      <c r="L90" s="2" t="n">
        <v>1</v>
      </c>
      <c r="M90" s="2" t="n">
        <v>1</v>
      </c>
      <c r="N90" s="2" t="n">
        <f aca="false">0.35*I90+0.25*K90+0.15*J90+0.15*L90+0.1 * M90</f>
        <v>0.65</v>
      </c>
      <c r="O90" s="2" t="n">
        <v>0</v>
      </c>
      <c r="P90" s="2" t="n">
        <v>0</v>
      </c>
      <c r="Q90" s="2" t="n">
        <v>0</v>
      </c>
      <c r="R90" s="2" t="n">
        <v>1</v>
      </c>
      <c r="S90" s="2" t="n">
        <v>1</v>
      </c>
      <c r="T90" s="3" t="n">
        <f aca="false">0.35*O90+0.25*P90+0.2 * R90 + 0.1*Q90 + 0.1 * S90</f>
        <v>0.3</v>
      </c>
      <c r="U90" s="3" t="n">
        <f aca="false">H90*N90</f>
        <v>0.455</v>
      </c>
      <c r="V90" s="3" t="n">
        <f aca="false">H90*T90</f>
        <v>0.21</v>
      </c>
      <c r="W90" s="3" t="n">
        <f aca="false">N90*T90</f>
        <v>0.195</v>
      </c>
      <c r="X90" s="3" t="n">
        <f aca="false">H90*N90*T90</f>
        <v>0.1365</v>
      </c>
    </row>
    <row r="91" customFormat="false" ht="13.8" hidden="false" customHeight="false" outlineLevel="0" collapsed="false">
      <c r="A91" s="1" t="n">
        <v>45444</v>
      </c>
      <c r="B91" s="2" t="n">
        <v>121502.490755</v>
      </c>
      <c r="C91" s="2" t="n">
        <v>0</v>
      </c>
      <c r="D91" s="2" t="n">
        <v>0</v>
      </c>
      <c r="E91" s="2" t="n">
        <v>1</v>
      </c>
      <c r="F91" s="2" t="n">
        <v>1</v>
      </c>
      <c r="G91" s="2" t="n">
        <v>1</v>
      </c>
      <c r="H91" s="2" t="n">
        <f aca="false">0.35*E91 + 0.25*G91+0.2*C91+0.1 * D91 + 0.1 * F91</f>
        <v>0.7</v>
      </c>
      <c r="I91" s="2" t="n">
        <v>0</v>
      </c>
      <c r="J91" s="2" t="n">
        <v>1</v>
      </c>
      <c r="K91" s="2" t="n">
        <v>1</v>
      </c>
      <c r="L91" s="2" t="n">
        <v>1</v>
      </c>
      <c r="M91" s="2" t="n">
        <v>1</v>
      </c>
      <c r="N91" s="2" t="n">
        <f aca="false">0.35*I91+0.25*K91+0.15*J91+0.15*L91+0.1 * M91</f>
        <v>0.65</v>
      </c>
      <c r="O91" s="2" t="n">
        <v>0</v>
      </c>
      <c r="P91" s="2" t="n">
        <v>0</v>
      </c>
      <c r="Q91" s="2" t="n">
        <v>0</v>
      </c>
      <c r="R91" s="2" t="n">
        <v>1</v>
      </c>
      <c r="S91" s="2" t="n">
        <v>1</v>
      </c>
      <c r="T91" s="3" t="n">
        <f aca="false">0.35*O91+0.25*P91+0.2 * R91 + 0.1*Q91 + 0.1 * S91</f>
        <v>0.3</v>
      </c>
      <c r="U91" s="3" t="n">
        <f aca="false">H91*N91</f>
        <v>0.455</v>
      </c>
      <c r="V91" s="3" t="n">
        <f aca="false">H91*T91</f>
        <v>0.21</v>
      </c>
      <c r="W91" s="3" t="n">
        <f aca="false">N91*T91</f>
        <v>0.195</v>
      </c>
      <c r="X91" s="3" t="n">
        <f aca="false">H91*N91*T91</f>
        <v>0.1365</v>
      </c>
    </row>
    <row r="92" customFormat="false" ht="13.8" hidden="false" customHeight="false" outlineLevel="0" collapsed="false">
      <c r="A92" s="1" t="n">
        <v>45474</v>
      </c>
      <c r="B92" s="2" t="n">
        <v>114426.575704347</v>
      </c>
      <c r="C92" s="2" t="n">
        <v>0</v>
      </c>
      <c r="D92" s="2" t="n">
        <v>0</v>
      </c>
      <c r="E92" s="2" t="n">
        <v>1</v>
      </c>
      <c r="F92" s="2" t="n">
        <v>1</v>
      </c>
      <c r="G92" s="2" t="n">
        <v>1</v>
      </c>
      <c r="H92" s="2" t="n">
        <f aca="false">0.35*E92 + 0.25*G92+0.2*C92+0.1 * D92 + 0.1 * F92</f>
        <v>0.7</v>
      </c>
      <c r="I92" s="2" t="n">
        <v>0</v>
      </c>
      <c r="J92" s="2" t="n">
        <v>1</v>
      </c>
      <c r="K92" s="2" t="n">
        <v>1</v>
      </c>
      <c r="L92" s="2" t="n">
        <v>1</v>
      </c>
      <c r="M92" s="2" t="n">
        <v>1</v>
      </c>
      <c r="N92" s="2" t="n">
        <f aca="false">0.35*I92+0.25*K92+0.15*J92+0.15*L92+0.1 * M92</f>
        <v>0.65</v>
      </c>
      <c r="O92" s="2" t="n">
        <v>0</v>
      </c>
      <c r="P92" s="2" t="n">
        <v>0</v>
      </c>
      <c r="Q92" s="2" t="n">
        <v>0</v>
      </c>
      <c r="R92" s="2" t="n">
        <v>1</v>
      </c>
      <c r="S92" s="2" t="n">
        <v>1</v>
      </c>
      <c r="T92" s="3" t="n">
        <f aca="false">0.35*O92+0.25*P92+0.2 * R92 + 0.1*Q92 + 0.1 * S92</f>
        <v>0.3</v>
      </c>
      <c r="U92" s="3" t="n">
        <f aca="false">H92*N92</f>
        <v>0.455</v>
      </c>
      <c r="V92" s="3" t="n">
        <f aca="false">H92*T92</f>
        <v>0.21</v>
      </c>
      <c r="W92" s="3" t="n">
        <f aca="false">N92*T92</f>
        <v>0.195</v>
      </c>
      <c r="X92" s="3" t="n">
        <f aca="false">H92*N92*T92</f>
        <v>0.1365</v>
      </c>
    </row>
    <row r="93" customFormat="false" ht="13.8" hidden="false" customHeight="false" outlineLevel="0" collapsed="false">
      <c r="A93" s="1" t="n">
        <v>45505</v>
      </c>
      <c r="B93" s="2" t="n">
        <v>107474.513318181</v>
      </c>
      <c r="C93" s="2" t="n">
        <v>0</v>
      </c>
      <c r="D93" s="2" t="n">
        <v>0</v>
      </c>
      <c r="E93" s="2" t="n">
        <v>1</v>
      </c>
      <c r="F93" s="2" t="n">
        <v>1</v>
      </c>
      <c r="G93" s="2" t="n">
        <v>1</v>
      </c>
      <c r="H93" s="2" t="n">
        <f aca="false">0.35*E93 + 0.25*G93+0.2*C93+0.1 * D93 + 0.1 * F93</f>
        <v>0.7</v>
      </c>
      <c r="I93" s="2" t="n">
        <v>0</v>
      </c>
      <c r="J93" s="2" t="n">
        <v>1</v>
      </c>
      <c r="K93" s="2" t="n">
        <v>1</v>
      </c>
      <c r="L93" s="2" t="n">
        <v>1</v>
      </c>
      <c r="M93" s="2" t="n">
        <v>1</v>
      </c>
      <c r="N93" s="2" t="n">
        <f aca="false">0.35*I93+0.25*K93+0.15*J93+0.15*L93+0.1 * M93</f>
        <v>0.65</v>
      </c>
      <c r="O93" s="2" t="n">
        <v>0</v>
      </c>
      <c r="P93" s="2" t="n">
        <v>0</v>
      </c>
      <c r="Q93" s="2" t="n">
        <v>0</v>
      </c>
      <c r="R93" s="2" t="n">
        <v>1</v>
      </c>
      <c r="S93" s="2" t="n">
        <v>1</v>
      </c>
      <c r="T93" s="3" t="n">
        <f aca="false">0.35*O93+0.25*P93+0.2 * R93 + 0.1*Q93 + 0.1 * S93</f>
        <v>0.3</v>
      </c>
      <c r="U93" s="3" t="n">
        <f aca="false">H93*N93</f>
        <v>0.455</v>
      </c>
      <c r="V93" s="3" t="n">
        <f aca="false">H93*T93</f>
        <v>0.21</v>
      </c>
      <c r="W93" s="3" t="n">
        <f aca="false">N93*T93</f>
        <v>0.195</v>
      </c>
      <c r="X93" s="3" t="n">
        <f aca="false">H93*N93*T93</f>
        <v>0.1365</v>
      </c>
    </row>
    <row r="94" customFormat="false" ht="13.8" hidden="false" customHeight="false" outlineLevel="0" collapsed="false">
      <c r="A94" s="1" t="n">
        <v>45536</v>
      </c>
      <c r="B94" s="2" t="n">
        <v>103653.049019047</v>
      </c>
      <c r="C94" s="2" t="n">
        <v>0</v>
      </c>
      <c r="D94" s="2" t="n">
        <v>0</v>
      </c>
      <c r="E94" s="2" t="n">
        <v>1</v>
      </c>
      <c r="F94" s="2" t="n">
        <v>1</v>
      </c>
      <c r="G94" s="2" t="n">
        <v>1</v>
      </c>
      <c r="H94" s="2" t="n">
        <f aca="false">0.35*E94 + 0.25*G94+0.2*C94+0.1 * D94 + 0.1 * F94</f>
        <v>0.7</v>
      </c>
      <c r="I94" s="2" t="n">
        <v>0</v>
      </c>
      <c r="J94" s="2" t="n">
        <v>1</v>
      </c>
      <c r="K94" s="2" t="n">
        <v>1</v>
      </c>
      <c r="L94" s="2" t="n">
        <v>1</v>
      </c>
      <c r="M94" s="2" t="n">
        <v>1</v>
      </c>
      <c r="N94" s="2" t="n">
        <f aca="false">0.35*I94+0.25*K94+0.15*J94+0.15*L94+0.1 * M94</f>
        <v>0.65</v>
      </c>
      <c r="O94" s="2" t="n">
        <v>0</v>
      </c>
      <c r="P94" s="2" t="n">
        <v>0</v>
      </c>
      <c r="Q94" s="2" t="n">
        <v>0</v>
      </c>
      <c r="R94" s="2" t="n">
        <v>1</v>
      </c>
      <c r="S94" s="2" t="n">
        <v>1</v>
      </c>
      <c r="T94" s="3" t="n">
        <f aca="false">0.35*O94+0.25*P94+0.2 * R94 + 0.1*Q94 + 0.1 * S94</f>
        <v>0.3</v>
      </c>
      <c r="U94" s="3" t="n">
        <f aca="false">H94*N94</f>
        <v>0.455</v>
      </c>
      <c r="V94" s="3" t="n">
        <f aca="false">H94*T94</f>
        <v>0.21</v>
      </c>
      <c r="W94" s="3" t="n">
        <f aca="false">N94*T94</f>
        <v>0.195</v>
      </c>
      <c r="X94" s="3" t="n">
        <f aca="false">H94*N94*T94</f>
        <v>0.1365</v>
      </c>
    </row>
    <row r="95" customFormat="false" ht="13.8" hidden="false" customHeight="false" outlineLevel="0" collapsed="false">
      <c r="A95" s="1" t="n">
        <v>45566</v>
      </c>
      <c r="B95" s="2" t="n">
        <v>102664.251134782</v>
      </c>
      <c r="C95" s="2" t="n">
        <v>0</v>
      </c>
      <c r="D95" s="2" t="n">
        <v>0</v>
      </c>
      <c r="E95" s="2" t="n">
        <v>1</v>
      </c>
      <c r="F95" s="2" t="n">
        <v>1</v>
      </c>
      <c r="G95" s="2" t="n">
        <v>1</v>
      </c>
      <c r="H95" s="2" t="n">
        <f aca="false">0.35*E95 + 0.25*G95+0.2*C95+0.1 * D95 + 0.1 * F95</f>
        <v>0.7</v>
      </c>
      <c r="I95" s="2" t="n">
        <v>0</v>
      </c>
      <c r="J95" s="2" t="n">
        <v>1</v>
      </c>
      <c r="K95" s="2" t="n">
        <v>1</v>
      </c>
      <c r="L95" s="2" t="n">
        <v>1</v>
      </c>
      <c r="M95" s="2" t="n">
        <v>1</v>
      </c>
      <c r="N95" s="2" t="n">
        <f aca="false">0.35*I95+0.25*K95+0.15*J95+0.15*L95+0.1 * M95</f>
        <v>0.65</v>
      </c>
      <c r="O95" s="2" t="n">
        <v>0</v>
      </c>
      <c r="P95" s="2" t="n">
        <v>0</v>
      </c>
      <c r="Q95" s="2" t="n">
        <v>0</v>
      </c>
      <c r="R95" s="2" t="n">
        <v>1</v>
      </c>
      <c r="S95" s="2" t="n">
        <v>1</v>
      </c>
      <c r="T95" s="3" t="n">
        <f aca="false">0.35*O95+0.25*P95+0.2 * R95 + 0.1*Q95 + 0.1 * S95</f>
        <v>0.3</v>
      </c>
      <c r="U95" s="3" t="n">
        <f aca="false">H95*N95</f>
        <v>0.455</v>
      </c>
      <c r="V95" s="3" t="n">
        <f aca="false">H95*T95</f>
        <v>0.21</v>
      </c>
      <c r="W95" s="3" t="n">
        <f aca="false">N95*T95</f>
        <v>0.195</v>
      </c>
      <c r="X95" s="3" t="n">
        <f aca="false">H95*N95*T95</f>
        <v>0.1365</v>
      </c>
    </row>
    <row r="96" customFormat="false" ht="13.8" hidden="false" customHeight="false" outlineLevel="0" collapsed="false">
      <c r="A96" s="1" t="n">
        <v>45597</v>
      </c>
      <c r="B96" s="2" t="n">
        <v>99543.6890238095</v>
      </c>
      <c r="C96" s="2" t="n">
        <v>0</v>
      </c>
      <c r="D96" s="2" t="n">
        <v>0</v>
      </c>
      <c r="E96" s="2" t="n">
        <v>1</v>
      </c>
      <c r="F96" s="2" t="n">
        <v>1</v>
      </c>
      <c r="G96" s="2" t="n">
        <v>1</v>
      </c>
      <c r="H96" s="2" t="n">
        <f aca="false">0.35*E96 + 0.25*G96+0.2*C96+0.1 * D96 + 0.1 * F96</f>
        <v>0.7</v>
      </c>
      <c r="I96" s="2" t="n">
        <v>0</v>
      </c>
      <c r="J96" s="2" t="n">
        <v>1</v>
      </c>
      <c r="K96" s="2" t="n">
        <v>1</v>
      </c>
      <c r="L96" s="2" t="n">
        <v>1</v>
      </c>
      <c r="M96" s="2" t="n">
        <v>1</v>
      </c>
      <c r="N96" s="2" t="n">
        <f aca="false">0.35*I96+0.25*K96+0.15*J96+0.15*L96+0.1 * M96</f>
        <v>0.65</v>
      </c>
      <c r="O96" s="2" t="n">
        <v>0</v>
      </c>
      <c r="P96" s="2" t="n">
        <v>0</v>
      </c>
      <c r="Q96" s="2" t="n">
        <v>0</v>
      </c>
      <c r="R96" s="2" t="n">
        <v>1</v>
      </c>
      <c r="S96" s="2" t="n">
        <v>1</v>
      </c>
      <c r="T96" s="3" t="n">
        <f aca="false">0.35*O96+0.25*P96+0.2 * R96 + 0.1*Q96 + 0.1 * S96</f>
        <v>0.3</v>
      </c>
      <c r="U96" s="3" t="n">
        <f aca="false">H96*N96</f>
        <v>0.455</v>
      </c>
      <c r="V96" s="3" t="n">
        <f aca="false">H96*T96</f>
        <v>0.21</v>
      </c>
      <c r="W96" s="3" t="n">
        <f aca="false">N96*T96</f>
        <v>0.195</v>
      </c>
      <c r="X96" s="3" t="n">
        <f aca="false">H96*N96*T96</f>
        <v>0.1365</v>
      </c>
    </row>
    <row r="97" customFormat="false" ht="13.8" hidden="false" customHeight="false" outlineLevel="0" collapsed="false">
      <c r="A97" s="1" t="n">
        <v>45627</v>
      </c>
      <c r="B97" s="2" t="n">
        <v>96533.8802718181</v>
      </c>
      <c r="C97" s="2" t="n">
        <v>0</v>
      </c>
      <c r="D97" s="2" t="n">
        <v>0</v>
      </c>
      <c r="E97" s="2" t="n">
        <v>1</v>
      </c>
      <c r="F97" s="2" t="n">
        <v>1</v>
      </c>
      <c r="G97" s="2" t="n">
        <v>1</v>
      </c>
      <c r="H97" s="2" t="n">
        <f aca="false">0.35*E97 + 0.25*G97+0.2*C97+0.1 * D97 + 0.1 * F97</f>
        <v>0.7</v>
      </c>
      <c r="I97" s="2" t="n">
        <v>0</v>
      </c>
      <c r="J97" s="2" t="n">
        <v>1</v>
      </c>
      <c r="K97" s="2" t="n">
        <v>1</v>
      </c>
      <c r="L97" s="2" t="n">
        <v>1</v>
      </c>
      <c r="M97" s="2" t="n">
        <v>1</v>
      </c>
      <c r="N97" s="2" t="n">
        <f aca="false">0.35*I97+0.25*K97+0.15*J97+0.15*L97+0.1 * M97</f>
        <v>0.65</v>
      </c>
      <c r="O97" s="2" t="n">
        <v>0</v>
      </c>
      <c r="P97" s="2" t="n">
        <v>0</v>
      </c>
      <c r="Q97" s="2" t="n">
        <v>0</v>
      </c>
      <c r="R97" s="2" t="n">
        <v>1</v>
      </c>
      <c r="S97" s="2" t="n">
        <v>1</v>
      </c>
      <c r="T97" s="3" t="n">
        <f aca="false">0.35*O97+0.25*P97+0.2 * R97 + 0.1*Q97 + 0.1 * S97</f>
        <v>0.3</v>
      </c>
      <c r="U97" s="3" t="n">
        <f aca="false">H97*N97</f>
        <v>0.455</v>
      </c>
      <c r="V97" s="3" t="n">
        <f aca="false">H97*T97</f>
        <v>0.21</v>
      </c>
      <c r="W97" s="3" t="n">
        <f aca="false">N97*T97</f>
        <v>0.195</v>
      </c>
      <c r="X97" s="3" t="n">
        <f aca="false">H97*N97*T97</f>
        <v>0.1365</v>
      </c>
    </row>
    <row r="98" customFormat="false" ht="13.8" hidden="false" customHeight="false" outlineLevel="0" collapsed="false">
      <c r="A98" s="1" t="n">
        <v>45658</v>
      </c>
      <c r="B98" s="2" t="n">
        <v>91267.271203913</v>
      </c>
      <c r="C98" s="2" t="n">
        <v>0</v>
      </c>
      <c r="D98" s="2" t="n">
        <v>0</v>
      </c>
      <c r="E98" s="2" t="n">
        <v>1</v>
      </c>
      <c r="F98" s="2" t="n">
        <v>1</v>
      </c>
      <c r="G98" s="2" t="n">
        <v>1</v>
      </c>
      <c r="H98" s="2" t="n">
        <f aca="false">0.35*E98 + 0.25*G98+0.2*C98+0.1 * D98 + 0.1 * F98</f>
        <v>0.7</v>
      </c>
      <c r="I98" s="2" t="n">
        <v>0</v>
      </c>
      <c r="J98" s="2" t="n">
        <v>1</v>
      </c>
      <c r="K98" s="2" t="n">
        <v>1</v>
      </c>
      <c r="L98" s="2" t="n">
        <v>1</v>
      </c>
      <c r="M98" s="2" t="n">
        <v>1</v>
      </c>
      <c r="N98" s="2" t="n">
        <f aca="false">0.35*I98+0.25*K98+0.15*J98+0.15*L98+0.1 * M98</f>
        <v>0.65</v>
      </c>
      <c r="O98" s="2" t="n">
        <v>0</v>
      </c>
      <c r="P98" s="2" t="n">
        <v>0</v>
      </c>
      <c r="Q98" s="2" t="n">
        <v>0</v>
      </c>
      <c r="R98" s="2" t="n">
        <v>1</v>
      </c>
      <c r="S98" s="2" t="n">
        <v>1</v>
      </c>
      <c r="T98" s="3" t="n">
        <f aca="false">0.35*O98+0.25*P98+0.2 * R98 + 0.1*Q98 + 0.1 * S98</f>
        <v>0.3</v>
      </c>
      <c r="U98" s="3" t="n">
        <f aca="false">H98*N98</f>
        <v>0.455</v>
      </c>
      <c r="V98" s="3" t="n">
        <f aca="false">H98*T98</f>
        <v>0.21</v>
      </c>
      <c r="W98" s="3" t="n">
        <f aca="false">N98*T98</f>
        <v>0.195</v>
      </c>
      <c r="X98" s="3" t="n">
        <f aca="false">H98*N98*T98</f>
        <v>0.1365</v>
      </c>
    </row>
    <row r="99" customFormat="false" ht="13.8" hidden="false" customHeight="false" outlineLevel="0" collapsed="false">
      <c r="A99" s="1" t="n">
        <v>45689</v>
      </c>
      <c r="B99" s="2" t="n">
        <v>90862.0400435</v>
      </c>
      <c r="C99" s="2" t="n">
        <v>0</v>
      </c>
      <c r="D99" s="2" t="n">
        <v>0</v>
      </c>
      <c r="E99" s="2" t="n">
        <v>1</v>
      </c>
      <c r="F99" s="2" t="n">
        <v>1</v>
      </c>
      <c r="G99" s="2" t="n">
        <v>1</v>
      </c>
      <c r="H99" s="2" t="n">
        <f aca="false">0.35*E99 + 0.25*G99+0.2*C99+0.1 * D99 + 0.1 * F99</f>
        <v>0.7</v>
      </c>
      <c r="I99" s="2" t="n">
        <v>0</v>
      </c>
      <c r="J99" s="2" t="n">
        <v>1</v>
      </c>
      <c r="K99" s="2" t="n">
        <v>1</v>
      </c>
      <c r="L99" s="2" t="n">
        <v>1</v>
      </c>
      <c r="M99" s="2" t="n">
        <v>1</v>
      </c>
      <c r="N99" s="2" t="n">
        <f aca="false">0.35*I99+0.25*K99+0.15*J99+0.15*L99+0.1 * M99</f>
        <v>0.65</v>
      </c>
      <c r="O99" s="2" t="n">
        <v>0</v>
      </c>
      <c r="P99" s="2" t="n">
        <v>0</v>
      </c>
      <c r="Q99" s="2" t="n">
        <v>0</v>
      </c>
      <c r="R99" s="2" t="n">
        <v>1</v>
      </c>
      <c r="S99" s="2" t="n">
        <v>1</v>
      </c>
      <c r="T99" s="3" t="n">
        <f aca="false">0.35*O99+0.25*P99+0.2 * R99 + 0.1*Q99 + 0.1 * S99</f>
        <v>0.3</v>
      </c>
      <c r="U99" s="3" t="n">
        <f aca="false">H99*N99</f>
        <v>0.455</v>
      </c>
      <c r="V99" s="3" t="n">
        <f aca="false">H99*T99</f>
        <v>0.21</v>
      </c>
      <c r="W99" s="3" t="n">
        <f aca="false">N99*T99</f>
        <v>0.195</v>
      </c>
      <c r="X99" s="3" t="n">
        <f aca="false">H99*N99*T99</f>
        <v>0.1365</v>
      </c>
    </row>
    <row r="100" customFormat="false" ht="13.8" hidden="false" customHeight="false" outlineLevel="0" collapsed="false">
      <c r="A100" s="1" t="n">
        <v>45717</v>
      </c>
      <c r="B100" s="2" t="n">
        <v>89546.1048742857</v>
      </c>
      <c r="C100" s="2" t="n">
        <v>0</v>
      </c>
      <c r="D100" s="2" t="n">
        <v>0</v>
      </c>
      <c r="E100" s="2" t="n">
        <v>1</v>
      </c>
      <c r="F100" s="2" t="n">
        <v>1</v>
      </c>
      <c r="G100" s="2" t="n">
        <v>1</v>
      </c>
      <c r="H100" s="2" t="n">
        <f aca="false">0.35*E100 + 0.25*G100+0.2*C100+0.1 * D100 + 0.1 * F100</f>
        <v>0.7</v>
      </c>
      <c r="I100" s="2" t="n">
        <v>0</v>
      </c>
      <c r="J100" s="2" t="n">
        <v>1</v>
      </c>
      <c r="K100" s="2" t="n">
        <v>1</v>
      </c>
      <c r="L100" s="2" t="n">
        <v>1</v>
      </c>
      <c r="M100" s="2" t="n">
        <v>1</v>
      </c>
      <c r="N100" s="2" t="n">
        <f aca="false">0.35*I100+0.25*K100+0.15*J100+0.15*L100+0.1 * M100</f>
        <v>0.65</v>
      </c>
      <c r="O100" s="2" t="n">
        <v>0</v>
      </c>
      <c r="P100" s="2" t="n">
        <v>0</v>
      </c>
      <c r="Q100" s="2" t="n">
        <v>0</v>
      </c>
      <c r="R100" s="2" t="n">
        <v>1</v>
      </c>
      <c r="S100" s="2" t="n">
        <v>1</v>
      </c>
      <c r="T100" s="3" t="n">
        <f aca="false">0.35*O100+0.25*P100+0.2 * R100 + 0.1*Q100 + 0.1 * S100</f>
        <v>0.3</v>
      </c>
      <c r="U100" s="3" t="n">
        <f aca="false">H100*N100</f>
        <v>0.455</v>
      </c>
      <c r="V100" s="3" t="n">
        <f aca="false">H100*T100</f>
        <v>0.21</v>
      </c>
      <c r="W100" s="3" t="n">
        <f aca="false">N100*T100</f>
        <v>0.195</v>
      </c>
      <c r="X100" s="3" t="n">
        <f aca="false">H100*N100*T100</f>
        <v>0.1365</v>
      </c>
    </row>
    <row r="101" customFormat="false" ht="13.8" hidden="false" customHeight="false" outlineLevel="0" collapsed="false">
      <c r="A101" s="1" t="n">
        <v>45748</v>
      </c>
      <c r="B101" s="2" t="n">
        <v>85250.20191</v>
      </c>
      <c r="C101" s="2" t="n">
        <v>0</v>
      </c>
      <c r="D101" s="2" t="n">
        <v>0</v>
      </c>
      <c r="E101" s="2" t="n">
        <v>1</v>
      </c>
      <c r="F101" s="2" t="n">
        <v>1</v>
      </c>
      <c r="G101" s="2" t="n">
        <v>1</v>
      </c>
      <c r="H101" s="2" t="n">
        <f aca="false">0.35*E101 + 0.25*G101+0.2*C101+0.1 * D101 + 0.1 * F101</f>
        <v>0.7</v>
      </c>
      <c r="I101" s="2" t="n">
        <v>0</v>
      </c>
      <c r="J101" s="2" t="n">
        <v>1</v>
      </c>
      <c r="K101" s="2" t="n">
        <v>1</v>
      </c>
      <c r="L101" s="2" t="n">
        <v>1</v>
      </c>
      <c r="M101" s="2" t="n">
        <v>1</v>
      </c>
      <c r="N101" s="2" t="n">
        <f aca="false">0.35*I101+0.25*K101+0.15*J101+0.15*L101+0.1 * M101</f>
        <v>0.65</v>
      </c>
      <c r="O101" s="2" t="n">
        <v>0</v>
      </c>
      <c r="P101" s="2" t="n">
        <v>0</v>
      </c>
      <c r="Q101" s="2" t="n">
        <v>0</v>
      </c>
      <c r="R101" s="2" t="n">
        <v>1</v>
      </c>
      <c r="S101" s="2" t="n">
        <v>1</v>
      </c>
      <c r="T101" s="3" t="n">
        <f aca="false">0.35*O101+0.25*P101+0.2 * R101 + 0.1*Q101 + 0.1 * S101</f>
        <v>0.3</v>
      </c>
      <c r="U101" s="3" t="n">
        <f aca="false">H101*N101</f>
        <v>0.455</v>
      </c>
      <c r="V101" s="3" t="n">
        <f aca="false">H101*T101</f>
        <v>0.21</v>
      </c>
      <c r="W101" s="3" t="n">
        <f aca="false">N101*T101</f>
        <v>0.195</v>
      </c>
      <c r="X101" s="3" t="n">
        <f aca="false">H101*N101*T101</f>
        <v>0.1365</v>
      </c>
    </row>
    <row r="102" customFormat="false" ht="13.8" hidden="false" customHeight="false" outlineLevel="0" collapsed="false">
      <c r="A102" s="1" t="n">
        <v>45778</v>
      </c>
      <c r="B102" s="2" t="n">
        <v>82233.826185</v>
      </c>
      <c r="C102" s="2" t="n">
        <v>0</v>
      </c>
      <c r="D102" s="2" t="n">
        <v>0</v>
      </c>
      <c r="E102" s="2" t="n">
        <v>1</v>
      </c>
      <c r="F102" s="2" t="n">
        <v>1</v>
      </c>
      <c r="G102" s="2" t="n">
        <v>1</v>
      </c>
      <c r="H102" s="2" t="n">
        <f aca="false">0.35*E102 + 0.25*G102+0.2*C102+0.1 * D102 + 0.1 * F102</f>
        <v>0.7</v>
      </c>
      <c r="I102" s="2" t="n">
        <v>0</v>
      </c>
      <c r="J102" s="2" t="n">
        <v>1</v>
      </c>
      <c r="K102" s="2" t="n">
        <v>1</v>
      </c>
      <c r="L102" s="2" t="n">
        <v>1</v>
      </c>
      <c r="M102" s="2" t="n">
        <v>1</v>
      </c>
      <c r="N102" s="2" t="n">
        <f aca="false">0.35*I102+0.25*K102+0.15*J102+0.15*L102+0.1 * M102</f>
        <v>0.65</v>
      </c>
      <c r="O102" s="2" t="n">
        <v>0</v>
      </c>
      <c r="P102" s="2" t="n">
        <v>0</v>
      </c>
      <c r="Q102" s="2" t="n">
        <v>0</v>
      </c>
      <c r="R102" s="2" t="n">
        <v>1</v>
      </c>
      <c r="S102" s="2" t="n">
        <v>1</v>
      </c>
      <c r="T102" s="3" t="n">
        <f aca="false">0.35*O102+0.25*P102+0.2 * R102 + 0.1*Q102 + 0.1 * S102</f>
        <v>0.3</v>
      </c>
      <c r="U102" s="3" t="n">
        <f aca="false">H102*N102</f>
        <v>0.455</v>
      </c>
      <c r="V102" s="3" t="n">
        <f aca="false">H102*T102</f>
        <v>0.21</v>
      </c>
      <c r="W102" s="3" t="n">
        <f aca="false">N102*T102</f>
        <v>0.195</v>
      </c>
      <c r="X102" s="3" t="n">
        <f aca="false">H102*N102*T102</f>
        <v>0.1365</v>
      </c>
    </row>
    <row r="103" customFormat="false" ht="13.8" hidden="false" customHeight="false" outlineLevel="0" collapsed="false">
      <c r="A103" s="1" t="n">
        <v>45809</v>
      </c>
      <c r="B103" s="2" t="n">
        <v>77075.4046585714</v>
      </c>
      <c r="C103" s="2" t="n">
        <v>0</v>
      </c>
      <c r="D103" s="2" t="n">
        <v>0</v>
      </c>
      <c r="E103" s="2" t="n">
        <v>1</v>
      </c>
      <c r="F103" s="2" t="n">
        <v>1</v>
      </c>
      <c r="G103" s="2" t="n">
        <v>1</v>
      </c>
      <c r="H103" s="2" t="n">
        <f aca="false">0.35*E103 + 0.25*G103+0.2*C103+0.1 * D103 + 0.1 * F103</f>
        <v>0.7</v>
      </c>
      <c r="I103" s="2" t="n">
        <v>0</v>
      </c>
      <c r="J103" s="2" t="n">
        <v>1</v>
      </c>
      <c r="K103" s="2" t="n">
        <v>1</v>
      </c>
      <c r="L103" s="2" t="n">
        <v>1</v>
      </c>
      <c r="M103" s="2" t="n">
        <v>1</v>
      </c>
      <c r="N103" s="2" t="n">
        <f aca="false">0.35*I103+0.25*K103+0.15*J103+0.15*L103+0.1 * M103</f>
        <v>0.65</v>
      </c>
      <c r="O103" s="2" t="n">
        <v>0</v>
      </c>
      <c r="P103" s="2" t="n">
        <v>0</v>
      </c>
      <c r="Q103" s="2" t="n">
        <v>0</v>
      </c>
      <c r="R103" s="2" t="n">
        <v>1</v>
      </c>
      <c r="S103" s="2" t="n">
        <v>1</v>
      </c>
      <c r="T103" s="3" t="n">
        <f aca="false">0.35*O103+0.25*P103+0.2 * R103 + 0.1*Q103 + 0.1 * S103</f>
        <v>0.3</v>
      </c>
      <c r="U103" s="3" t="n">
        <f aca="false">H103*N103</f>
        <v>0.455</v>
      </c>
      <c r="V103" s="3" t="n">
        <f aca="false">H103*T103</f>
        <v>0.21</v>
      </c>
      <c r="W103" s="3" t="n">
        <f aca="false">N103*T103</f>
        <v>0.195</v>
      </c>
      <c r="X103" s="3" t="n">
        <f aca="false">H103*N103*T103</f>
        <v>0.1365</v>
      </c>
    </row>
    <row r="104" customFormat="false" ht="13.8" hidden="false" customHeight="false" outlineLevel="0" collapsed="false">
      <c r="A104" s="1" t="n">
        <v>45839</v>
      </c>
      <c r="B104" s="2" t="n">
        <v>77346.0411982608</v>
      </c>
      <c r="C104" s="2" t="n">
        <v>0</v>
      </c>
      <c r="D104" s="2" t="n">
        <v>0</v>
      </c>
      <c r="E104" s="2" t="n">
        <v>1</v>
      </c>
      <c r="F104" s="2" t="n">
        <v>1</v>
      </c>
      <c r="G104" s="2" t="n">
        <v>1</v>
      </c>
      <c r="H104" s="2" t="n">
        <f aca="false">0.35*E104 + 0.25*G104+0.2*C104+0.1 * D104 + 0.1 * F104</f>
        <v>0.7</v>
      </c>
      <c r="I104" s="2" t="n">
        <v>0</v>
      </c>
      <c r="J104" s="2" t="n">
        <v>1</v>
      </c>
      <c r="K104" s="2" t="n">
        <v>1</v>
      </c>
      <c r="L104" s="2" t="n">
        <v>1</v>
      </c>
      <c r="M104" s="2" t="n">
        <v>1</v>
      </c>
      <c r="N104" s="2" t="n">
        <f aca="false">0.35*I104+0.25*K104+0.15*J104+0.15*L104+0.1 * M104</f>
        <v>0.65</v>
      </c>
      <c r="O104" s="2" t="n">
        <v>0</v>
      </c>
      <c r="P104" s="2" t="n">
        <v>0</v>
      </c>
      <c r="Q104" s="2" t="n">
        <v>0</v>
      </c>
      <c r="R104" s="2" t="n">
        <v>1</v>
      </c>
      <c r="S104" s="2" t="n">
        <v>0</v>
      </c>
      <c r="T104" s="3" t="n">
        <f aca="false">0.35*O104+0.25*P104+0.2 * R104 + 0.1*Q104 + 0.1 * S104</f>
        <v>0.2</v>
      </c>
      <c r="U104" s="3" t="n">
        <f aca="false">H104*N104</f>
        <v>0.455</v>
      </c>
      <c r="V104" s="3" t="n">
        <f aca="false">H104*T104</f>
        <v>0.14</v>
      </c>
      <c r="W104" s="3" t="n">
        <f aca="false">N104*T104</f>
        <v>0.13</v>
      </c>
      <c r="X104" s="3" t="n">
        <f aca="false">H104*N104*T104</f>
        <v>0.091</v>
      </c>
    </row>
    <row r="105" customFormat="false" ht="13.8" hidden="false" customHeight="false" outlineLevel="0" collapsed="false">
      <c r="A105" s="1" t="n">
        <v>45870</v>
      </c>
      <c r="B105" s="2" t="n">
        <v>81553.9480209523</v>
      </c>
      <c r="C105" s="2" t="n">
        <v>0</v>
      </c>
      <c r="D105" s="2" t="n">
        <v>0</v>
      </c>
      <c r="E105" s="2" t="n">
        <v>1</v>
      </c>
      <c r="F105" s="2" t="n">
        <v>1</v>
      </c>
      <c r="G105" s="2" t="n">
        <v>1</v>
      </c>
      <c r="H105" s="2" t="n">
        <f aca="false">0.35*E105 + 0.25*G105+0.2*C105+0.1 * D105 + 0.1 * F105</f>
        <v>0.7</v>
      </c>
      <c r="I105" s="2" t="n">
        <v>0</v>
      </c>
      <c r="J105" s="2" t="n">
        <v>1</v>
      </c>
      <c r="K105" s="2" t="n">
        <v>1</v>
      </c>
      <c r="L105" s="2" t="n">
        <v>1</v>
      </c>
      <c r="M105" s="2" t="n">
        <v>1</v>
      </c>
      <c r="N105" s="2" t="n">
        <f aca="false">0.35*I105+0.25*K105+0.15*J105+0.15*L105+0.1 * M105</f>
        <v>0.65</v>
      </c>
      <c r="O105" s="2" t="n">
        <v>0</v>
      </c>
      <c r="P105" s="2" t="n">
        <v>0</v>
      </c>
      <c r="Q105" s="2" t="n">
        <v>0</v>
      </c>
      <c r="R105" s="2" t="n">
        <v>1</v>
      </c>
      <c r="S105" s="2" t="n">
        <v>0</v>
      </c>
      <c r="T105" s="3" t="n">
        <f aca="false">0.35*O105+0.25*P105+0.2 * R105 + 0.1*Q105 + 0.1 * S105</f>
        <v>0.2</v>
      </c>
      <c r="U105" s="3" t="n">
        <f aca="false">H105*N105</f>
        <v>0.455</v>
      </c>
      <c r="V105" s="3" t="n">
        <f aca="false">H105*T105</f>
        <v>0.14</v>
      </c>
      <c r="W105" s="3" t="n">
        <f aca="false">N105*T105</f>
        <v>0.13</v>
      </c>
      <c r="X105" s="3" t="n">
        <f aca="false">H105*N105*T105</f>
        <v>0.091</v>
      </c>
    </row>
    <row r="106" customFormat="false" ht="13.8" hidden="false" customHeight="false" outlineLevel="0" collapsed="false">
      <c r="A106" s="1" t="n">
        <v>45901</v>
      </c>
      <c r="B106" s="2" t="n">
        <v>84644.2111863636</v>
      </c>
      <c r="C106" s="2" t="n">
        <v>0</v>
      </c>
      <c r="D106" s="2" t="n">
        <v>0</v>
      </c>
      <c r="E106" s="2" t="n">
        <v>1</v>
      </c>
      <c r="F106" s="2" t="n">
        <v>1</v>
      </c>
      <c r="G106" s="2" t="n">
        <v>1</v>
      </c>
      <c r="H106" s="2" t="n">
        <f aca="false">0.35*E106 + 0.25*G106+0.2*C106+0.1 * D106 + 0.1 * F106</f>
        <v>0.7</v>
      </c>
      <c r="I106" s="2" t="n">
        <v>0</v>
      </c>
      <c r="J106" s="2" t="n">
        <v>1</v>
      </c>
      <c r="K106" s="2" t="n">
        <v>1</v>
      </c>
      <c r="L106" s="2" t="n">
        <v>1</v>
      </c>
      <c r="M106" s="2" t="n">
        <v>1</v>
      </c>
      <c r="N106" s="2" t="n">
        <f aca="false">0.35*I106+0.25*K106+0.15*J106+0.15*L106+0.1 * M106</f>
        <v>0.65</v>
      </c>
      <c r="O106" s="2" t="n">
        <v>0</v>
      </c>
      <c r="P106" s="2" t="n">
        <v>0</v>
      </c>
      <c r="Q106" s="2" t="n">
        <v>0</v>
      </c>
      <c r="R106" s="2" t="n">
        <v>1</v>
      </c>
      <c r="S106" s="2" t="n">
        <v>0</v>
      </c>
      <c r="T106" s="3" t="n">
        <f aca="false">0.35*O106+0.25*P106+0.2 * R106 + 0.1*Q106 + 0.1 * S106</f>
        <v>0.2</v>
      </c>
      <c r="U106" s="3" t="n">
        <f aca="false">H106*N106</f>
        <v>0.455</v>
      </c>
      <c r="V106" s="3" t="n">
        <f aca="false">H106*T106</f>
        <v>0.14</v>
      </c>
      <c r="W106" s="3" t="n">
        <f aca="false">N106*T106</f>
        <v>0.13</v>
      </c>
      <c r="X106" s="3" t="n">
        <f aca="false">H106*N106*T106</f>
        <v>0.091</v>
      </c>
    </row>
    <row r="107" customFormat="false" ht="13.8" hidden="false" customHeight="false" outlineLevel="0" collapsed="false">
      <c r="A107" s="1" t="n">
        <v>45931</v>
      </c>
      <c r="B107" s="2" t="n">
        <v>82990.0799447826</v>
      </c>
      <c r="C107" s="2" t="n">
        <v>0</v>
      </c>
      <c r="D107" s="2" t="n">
        <v>0</v>
      </c>
      <c r="E107" s="2" t="n">
        <v>1</v>
      </c>
      <c r="F107" s="2" t="n">
        <v>1</v>
      </c>
      <c r="G107" s="2" t="n">
        <v>1</v>
      </c>
      <c r="H107" s="2" t="n">
        <f aca="false">0.35*E107 + 0.25*G107+0.2*C107+0.1 * D107 + 0.1 * F107</f>
        <v>0.7</v>
      </c>
      <c r="I107" s="2" t="n">
        <v>0</v>
      </c>
      <c r="J107" s="2" t="n">
        <v>1</v>
      </c>
      <c r="K107" s="2" t="n">
        <v>1</v>
      </c>
      <c r="L107" s="2" t="n">
        <v>1</v>
      </c>
      <c r="M107" s="2" t="n">
        <v>1</v>
      </c>
      <c r="N107" s="2" t="n">
        <f aca="false">0.35*I107+0.25*K107+0.15*J107+0.15*L107+0.1 * M107</f>
        <v>0.65</v>
      </c>
      <c r="O107" s="2" t="n">
        <v>0</v>
      </c>
      <c r="P107" s="2" t="n">
        <v>0</v>
      </c>
      <c r="Q107" s="2" t="n">
        <v>0</v>
      </c>
      <c r="R107" s="2" t="n">
        <v>1</v>
      </c>
      <c r="S107" s="2" t="n">
        <v>0</v>
      </c>
      <c r="T107" s="3" t="n">
        <f aca="false">0.35*O107+0.25*P107+0.2 * R107 + 0.1*Q107 + 0.1 * S107</f>
        <v>0.2</v>
      </c>
      <c r="U107" s="3" t="n">
        <f aca="false">H107*N107</f>
        <v>0.455</v>
      </c>
      <c r="V107" s="3" t="n">
        <f aca="false">H107*T107</f>
        <v>0.14</v>
      </c>
      <c r="W107" s="3" t="n">
        <f aca="false">N107*T107</f>
        <v>0.13</v>
      </c>
      <c r="X107" s="3" t="n">
        <f aca="false">H107*N107*T107</f>
        <v>0.091</v>
      </c>
    </row>
    <row r="108" customFormat="false" ht="13.8" hidden="false" customHeight="false" outlineLevel="0" collapsed="false">
      <c r="A108" s="1" t="n">
        <v>45962</v>
      </c>
      <c r="B108" s="2" t="n">
        <v>85629.7223035</v>
      </c>
      <c r="C108" s="2" t="n">
        <v>0</v>
      </c>
      <c r="D108" s="2" t="n">
        <v>0</v>
      </c>
      <c r="E108" s="2" t="n">
        <v>1</v>
      </c>
      <c r="F108" s="2" t="n">
        <v>1</v>
      </c>
      <c r="G108" s="2" t="n">
        <v>1</v>
      </c>
      <c r="H108" s="2" t="n">
        <f aca="false">0.35*E108 + 0.25*G108+0.2*C108+0.1 * D108 + 0.1 * F108</f>
        <v>0.7</v>
      </c>
      <c r="I108" s="2" t="n">
        <v>0</v>
      </c>
      <c r="J108" s="2" t="n">
        <v>1</v>
      </c>
      <c r="K108" s="2" t="n">
        <v>1</v>
      </c>
      <c r="L108" s="2" t="n">
        <v>1</v>
      </c>
      <c r="M108" s="2" t="n">
        <v>1</v>
      </c>
      <c r="N108" s="2" t="n">
        <f aca="false">0.35*I108+0.25*K108+0.15*J108+0.15*L108+0.1 * M108</f>
        <v>0.65</v>
      </c>
      <c r="O108" s="2" t="n">
        <v>0</v>
      </c>
      <c r="P108" s="2" t="n">
        <v>0</v>
      </c>
      <c r="Q108" s="2" t="n">
        <v>0</v>
      </c>
      <c r="R108" s="2" t="n">
        <v>1</v>
      </c>
      <c r="S108" s="2" t="n">
        <v>0</v>
      </c>
      <c r="T108" s="3" t="n">
        <f aca="false">0.35*O108+0.25*P108+0.2 * R108 + 0.1*Q108 + 0.1 * S108</f>
        <v>0.2</v>
      </c>
      <c r="U108" s="3" t="n">
        <f aca="false">H108*N108</f>
        <v>0.455</v>
      </c>
      <c r="V108" s="3" t="n">
        <f aca="false">H108*T108</f>
        <v>0.14</v>
      </c>
      <c r="W108" s="3" t="n">
        <f aca="false">N108*T108</f>
        <v>0.13</v>
      </c>
      <c r="X108" s="3" t="n">
        <f aca="false">H108*N108*T108</f>
        <v>0.091</v>
      </c>
    </row>
    <row r="109" customFormat="false" ht="13.8" hidden="false" customHeight="false" outlineLevel="0" collapsed="false">
      <c r="A109" s="1" t="n">
        <v>45992</v>
      </c>
      <c r="B109" s="2" t="n">
        <v>95256.61168</v>
      </c>
      <c r="C109" s="2" t="n">
        <v>0</v>
      </c>
      <c r="D109" s="2" t="n">
        <v>0</v>
      </c>
      <c r="E109" s="2" t="n">
        <v>1</v>
      </c>
      <c r="F109" s="2" t="n">
        <v>1</v>
      </c>
      <c r="G109" s="2" t="n">
        <v>1</v>
      </c>
      <c r="H109" s="2" t="n">
        <f aca="false">0.35*E109 + 0.25*G109+0.2*C109+0.1 * D109 + 0.1 * F109</f>
        <v>0.7</v>
      </c>
      <c r="I109" s="2" t="n">
        <v>0</v>
      </c>
      <c r="J109" s="2" t="n">
        <v>1</v>
      </c>
      <c r="K109" s="2" t="n">
        <v>1</v>
      </c>
      <c r="L109" s="2" t="n">
        <v>1</v>
      </c>
      <c r="M109" s="2" t="n">
        <v>1</v>
      </c>
      <c r="N109" s="2" t="n">
        <f aca="false">0.35*I109+0.25*K109+0.15*J109+0.15*L109+0.1 * M109</f>
        <v>0.65</v>
      </c>
      <c r="O109" s="2" t="n">
        <v>0</v>
      </c>
      <c r="P109" s="2" t="n">
        <v>0</v>
      </c>
      <c r="Q109" s="2" t="n">
        <v>0</v>
      </c>
      <c r="R109" s="2" t="n">
        <v>1</v>
      </c>
      <c r="S109" s="2" t="n">
        <v>0</v>
      </c>
      <c r="T109" s="3" t="n">
        <f aca="false">0.35*O109+0.25*P109+0.2 * R109 + 0.1*Q109 + 0.1 * S109</f>
        <v>0.2</v>
      </c>
      <c r="U109" s="3" t="n">
        <f aca="false">H109*N109</f>
        <v>0.455</v>
      </c>
      <c r="V109" s="3" t="n">
        <f aca="false">H109*T109</f>
        <v>0.14</v>
      </c>
      <c r="W109" s="3" t="n">
        <f aca="false">N109*T109</f>
        <v>0.13</v>
      </c>
      <c r="X109" s="3" t="n">
        <f aca="false">H109*N109*T109</f>
        <v>0.091</v>
      </c>
    </row>
    <row r="110" customFormat="false" ht="13.8" hidden="false" customHeight="false" outlineLevel="0" collapsed="false">
      <c r="A110" s="1" t="n">
        <v>46023</v>
      </c>
      <c r="B110" s="2" t="n">
        <v>131371.46840909</v>
      </c>
      <c r="C110" s="2" t="n">
        <v>0</v>
      </c>
      <c r="D110" s="2" t="n">
        <v>0</v>
      </c>
      <c r="E110" s="2" t="n">
        <v>1</v>
      </c>
      <c r="F110" s="2" t="n">
        <v>1</v>
      </c>
      <c r="G110" s="2" t="n">
        <v>1</v>
      </c>
      <c r="H110" s="2" t="n">
        <f aca="false">0.35*E110 + 0.25*G110+0.2*C110+0.1 * D110 + 0.1 * F110</f>
        <v>0.7</v>
      </c>
      <c r="I110" s="2" t="n">
        <v>0</v>
      </c>
      <c r="J110" s="2" t="n">
        <v>1</v>
      </c>
      <c r="K110" s="2" t="n">
        <v>1</v>
      </c>
      <c r="L110" s="2" t="n">
        <v>1</v>
      </c>
      <c r="M110" s="2" t="n">
        <v>1</v>
      </c>
      <c r="N110" s="2" t="n">
        <f aca="false">0.35*I110+0.25*K110+0.15*J110+0.15*L110+0.1 * M110</f>
        <v>0.65</v>
      </c>
      <c r="O110" s="2" t="n">
        <v>0</v>
      </c>
      <c r="P110" s="2" t="n">
        <v>0</v>
      </c>
      <c r="Q110" s="2" t="n">
        <v>0</v>
      </c>
      <c r="R110" s="2" t="n">
        <v>1</v>
      </c>
      <c r="S110" s="2" t="n">
        <v>0</v>
      </c>
      <c r="T110" s="3" t="n">
        <f aca="false">0.35*O110+0.25*P110+0.2 * R110 + 0.1*Q110 + 0.1 * S110</f>
        <v>0.2</v>
      </c>
      <c r="U110" s="3" t="n">
        <f aca="false">H110*N110</f>
        <v>0.455</v>
      </c>
      <c r="V110" s="3" t="n">
        <f aca="false">H110*T110</f>
        <v>0.14</v>
      </c>
      <c r="W110" s="3" t="n">
        <f aca="false">N110*T110</f>
        <v>0.13</v>
      </c>
      <c r="X110" s="3" t="n">
        <f aca="false">H110*N110*T110</f>
        <v>0.091</v>
      </c>
    </row>
    <row r="111" customFormat="false" ht="13.8" hidden="false" customHeight="false" outlineLevel="0" collapsed="false">
      <c r="A111" s="1" t="n">
        <v>46054</v>
      </c>
      <c r="B111" s="2" t="n">
        <v>149174.50071</v>
      </c>
      <c r="C111" s="2" t="n">
        <v>0</v>
      </c>
      <c r="D111" s="2" t="n">
        <v>0</v>
      </c>
      <c r="E111" s="2" t="n">
        <v>1</v>
      </c>
      <c r="F111" s="2" t="n">
        <v>1</v>
      </c>
      <c r="G111" s="2" t="n">
        <v>1</v>
      </c>
      <c r="H111" s="2" t="n">
        <f aca="false">0.35*E111 + 0.25*G111+0.2*C111+0.1 * D111 + 0.1 * F111</f>
        <v>0.7</v>
      </c>
      <c r="I111" s="2" t="n">
        <v>0</v>
      </c>
      <c r="J111" s="2" t="n">
        <v>1</v>
      </c>
      <c r="K111" s="2" t="n">
        <v>1</v>
      </c>
      <c r="L111" s="2" t="n">
        <v>1</v>
      </c>
      <c r="M111" s="2" t="n">
        <v>1</v>
      </c>
      <c r="N111" s="2" t="n">
        <f aca="false">0.35*I111+0.25*K111+0.15*J111+0.15*L111+0.1 * M111</f>
        <v>0.65</v>
      </c>
      <c r="O111" s="2" t="n">
        <v>0</v>
      </c>
      <c r="P111" s="2" t="n">
        <v>0</v>
      </c>
      <c r="Q111" s="2" t="n">
        <v>0</v>
      </c>
      <c r="R111" s="2" t="n">
        <v>1</v>
      </c>
      <c r="S111" s="2" t="n">
        <v>0</v>
      </c>
      <c r="T111" s="3" t="n">
        <f aca="false">0.35*O111+0.25*P111+0.2 * R111 + 0.1*Q111 + 0.1 * S111</f>
        <v>0.2</v>
      </c>
      <c r="U111" s="3" t="n">
        <f aca="false">H111*N111</f>
        <v>0.455</v>
      </c>
      <c r="V111" s="3" t="n">
        <f aca="false">H111*T111</f>
        <v>0.14</v>
      </c>
      <c r="W111" s="3" t="n">
        <f aca="false">N111*T111</f>
        <v>0.13</v>
      </c>
      <c r="X111" s="3" t="n">
        <f aca="false">H111*N111*T111</f>
        <v>0.091</v>
      </c>
    </row>
    <row r="112" customFormat="false" ht="13.8" hidden="false" customHeight="false" outlineLevel="0" collapsed="false">
      <c r="A112" s="1" t="n">
        <v>46082</v>
      </c>
      <c r="B112" s="2" t="n">
        <v>155400.747231818</v>
      </c>
      <c r="C112" s="2" t="n">
        <v>0</v>
      </c>
      <c r="D112" s="2" t="n">
        <v>0</v>
      </c>
      <c r="E112" s="2" t="n">
        <v>1</v>
      </c>
      <c r="F112" s="2" t="n">
        <v>1</v>
      </c>
      <c r="G112" s="2" t="n">
        <v>1</v>
      </c>
      <c r="H112" s="2" t="n">
        <f aca="false">0.35*E112 + 0.25*G112+0.2*C112+0.1 * D112 + 0.1 * F112</f>
        <v>0.7</v>
      </c>
      <c r="I112" s="2" t="n">
        <v>0</v>
      </c>
      <c r="J112" s="2" t="n">
        <v>1</v>
      </c>
      <c r="K112" s="2" t="n">
        <v>1</v>
      </c>
      <c r="L112" s="2" t="n">
        <v>1</v>
      </c>
      <c r="M112" s="2" t="n">
        <v>1</v>
      </c>
      <c r="N112" s="2" t="n">
        <f aca="false">0.35*I112+0.25*K112+0.15*J112+0.15*L112+0.1 * M112</f>
        <v>0.65</v>
      </c>
      <c r="O112" s="2" t="n">
        <v>0</v>
      </c>
      <c r="P112" s="2" t="n">
        <v>0</v>
      </c>
      <c r="Q112" s="2" t="n">
        <v>0</v>
      </c>
      <c r="R112" s="2" t="n">
        <v>1</v>
      </c>
      <c r="S112" s="2" t="n">
        <v>0</v>
      </c>
      <c r="T112" s="3" t="n">
        <f aca="false">0.35*O112+0.25*P112+0.2 * R112 + 0.1*Q112 + 0.1 * S112</f>
        <v>0.2</v>
      </c>
      <c r="U112" s="3" t="n">
        <f aca="false">H112*N112</f>
        <v>0.455</v>
      </c>
      <c r="V112" s="3" t="n">
        <f aca="false">H112*T112</f>
        <v>0.14</v>
      </c>
      <c r="W112" s="3" t="n">
        <f aca="false">N112*T112</f>
        <v>0.13</v>
      </c>
      <c r="X112" s="3" t="n">
        <f aca="false">H112*N112*T112</f>
        <v>0.091</v>
      </c>
    </row>
    <row r="113" customFormat="false" ht="13.8" hidden="false" customHeight="false" outlineLevel="0" collapsed="false">
      <c r="A113" s="1" t="n">
        <v>46113</v>
      </c>
      <c r="B113" s="2" t="n">
        <v>159973.081172727</v>
      </c>
      <c r="C113" s="2" t="n">
        <v>0</v>
      </c>
      <c r="D113" s="2" t="n">
        <v>0</v>
      </c>
      <c r="E113" s="2" t="n">
        <v>1</v>
      </c>
      <c r="F113" s="2" t="n">
        <v>1</v>
      </c>
      <c r="G113" s="2" t="n">
        <v>1</v>
      </c>
      <c r="H113" s="2" t="n">
        <f aca="false">0.35*E113 + 0.25*G113+0.2*C113+0.1 * D113 + 0.1 * F113</f>
        <v>0.7</v>
      </c>
      <c r="I113" s="2" t="n">
        <v>0</v>
      </c>
      <c r="J113" s="2" t="n">
        <v>1</v>
      </c>
      <c r="K113" s="2" t="n">
        <v>1</v>
      </c>
      <c r="L113" s="2" t="n">
        <v>1</v>
      </c>
      <c r="M113" s="2" t="n">
        <v>1</v>
      </c>
      <c r="N113" s="2" t="n">
        <f aca="false">0.35*I113+0.25*K113+0.15*J113+0.15*L113+0.1 * M113</f>
        <v>0.65</v>
      </c>
      <c r="O113" s="2" t="n">
        <v>0</v>
      </c>
      <c r="P113" s="2" t="n">
        <v>0</v>
      </c>
      <c r="Q113" s="2" t="n">
        <v>0</v>
      </c>
      <c r="R113" s="2" t="n">
        <v>1</v>
      </c>
      <c r="S113" s="2" t="n">
        <v>0</v>
      </c>
      <c r="T113" s="3" t="n">
        <f aca="false">0.35*O113+0.25*P113+0.2 * R113 + 0.1*Q113 + 0.1 * S113</f>
        <v>0.2</v>
      </c>
      <c r="U113" s="3" t="n">
        <f aca="false">H113*N113</f>
        <v>0.455</v>
      </c>
      <c r="V113" s="3" t="n">
        <f aca="false">H113*T113</f>
        <v>0.14</v>
      </c>
      <c r="W113" s="3" t="n">
        <f aca="false">N113*T113</f>
        <v>0.13</v>
      </c>
      <c r="X113" s="3" t="n">
        <f aca="false">H113*N113*T113</f>
        <v>0.091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3"/>
  <sheetViews>
    <sheetView showFormulas="false" showGridLines="true" showRowColHeaders="true" showZeros="true" rightToLeft="false" tabSelected="false" showOutlineSymbols="true" defaultGridColor="true" view="normal" topLeftCell="B1" colorId="64" zoomScale="110" zoomScaleNormal="110" zoomScalePageLayoutView="100" workbookViewId="0">
      <selection pane="topLeft" activeCell="C4" activeCellId="0" sqref="C4"/>
    </sheetView>
  </sheetViews>
  <sheetFormatPr defaultColWidth="8.6171875" defaultRowHeight="13.8" zeroHeight="false" outlineLevelRow="0" outlineLevelCol="0"/>
  <cols>
    <col collapsed="false" customWidth="true" hidden="false" outlineLevel="0" max="1" min="1" style="1" width="14.91"/>
    <col collapsed="false" customWidth="true" hidden="false" outlineLevel="0" max="2" min="2" style="2" width="11.61"/>
    <col collapsed="false" customWidth="true" hidden="false" outlineLevel="0" max="21" min="3" style="2" width="10.82"/>
    <col collapsed="false" customWidth="true" hidden="false" outlineLevel="0" max="16384" min="16340" style="3" width="10.49"/>
  </cols>
  <sheetData>
    <row r="1" s="6" customFormat="true" ht="16.95" hidden="false" customHeight="true" outlineLevel="0" collapsed="false">
      <c r="A1" s="4" t="s">
        <v>0</v>
      </c>
      <c r="B1" s="8" t="s">
        <v>37</v>
      </c>
      <c r="C1" s="5" t="s">
        <v>38</v>
      </c>
      <c r="D1" s="5" t="s">
        <v>4</v>
      </c>
      <c r="E1" s="5" t="s">
        <v>26</v>
      </c>
      <c r="F1" s="5" t="s">
        <v>39</v>
      </c>
      <c r="G1" s="5" t="s">
        <v>40</v>
      </c>
      <c r="H1" s="5" t="s">
        <v>7</v>
      </c>
      <c r="I1" s="5" t="s">
        <v>41</v>
      </c>
      <c r="J1" s="5" t="s">
        <v>42</v>
      </c>
      <c r="K1" s="5" t="s">
        <v>43</v>
      </c>
      <c r="L1" s="5" t="s">
        <v>31</v>
      </c>
      <c r="M1" s="5" t="s">
        <v>44</v>
      </c>
      <c r="N1" s="5" t="s">
        <v>45</v>
      </c>
      <c r="O1" s="5" t="s">
        <v>13</v>
      </c>
      <c r="P1" s="5" t="s">
        <v>46</v>
      </c>
      <c r="Q1" s="5" t="s">
        <v>47</v>
      </c>
      <c r="R1" s="5" t="s">
        <v>48</v>
      </c>
      <c r="S1" s="5" t="s">
        <v>49</v>
      </c>
      <c r="T1" s="5" t="s">
        <v>50</v>
      </c>
      <c r="U1" s="5" t="s">
        <v>51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  <row r="2" customFormat="false" ht="13.8" hidden="false" customHeight="false" outlineLevel="0" collapsed="false">
      <c r="A2" s="1" t="n">
        <v>42736</v>
      </c>
      <c r="B2" s="2" t="n">
        <v>2131.81818181818</v>
      </c>
      <c r="C2" s="2" t="n">
        <v>0</v>
      </c>
      <c r="D2" s="2" t="n">
        <v>0</v>
      </c>
      <c r="E2" s="2" t="n">
        <v>0</v>
      </c>
      <c r="F2" s="2" t="n">
        <v>1</v>
      </c>
      <c r="G2" s="2" t="n">
        <v>0</v>
      </c>
      <c r="H2" s="2" t="n">
        <f aca="false">0.35 * E2 + 0.2 * C2 + 0.2 * G2 + 0.15 * F2 + 0.1 * D2</f>
        <v>0.15</v>
      </c>
      <c r="I2" s="2" t="n">
        <v>1</v>
      </c>
      <c r="J2" s="2" t="n">
        <v>1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f aca="false">0.3*L2 + 0.25 * M2+0.2 * J2 + 0.15*N2 + 0.1 * I2</f>
        <v>0.3</v>
      </c>
      <c r="P2" s="2" t="n">
        <v>1</v>
      </c>
      <c r="Q2" s="2" t="n">
        <v>1</v>
      </c>
      <c r="R2" s="2" t="n">
        <v>0</v>
      </c>
      <c r="S2" s="2" t="n">
        <v>0</v>
      </c>
      <c r="T2" s="2" t="n">
        <v>0</v>
      </c>
      <c r="U2" s="2" t="n">
        <v>0</v>
      </c>
      <c r="V2" s="3" t="n">
        <f aca="false">0.3 * Q2 + 0.25 * S2 + 0.2 * T2 + 0.15 * U2 + 0.1 * P2</f>
        <v>0.4</v>
      </c>
      <c r="W2" s="3" t="n">
        <f aca="false">H2*O2</f>
        <v>0.045</v>
      </c>
      <c r="X2" s="3" t="n">
        <f aca="false">H2*V2</f>
        <v>0.06</v>
      </c>
      <c r="Y2" s="3" t="n">
        <f aca="false">O2*V2</f>
        <v>0.12</v>
      </c>
      <c r="Z2" s="3" t="n">
        <f aca="false">H2*O2*V2</f>
        <v>0.018</v>
      </c>
    </row>
    <row r="3" customFormat="false" ht="13.8" hidden="false" customHeight="false" outlineLevel="0" collapsed="false">
      <c r="A3" s="1" t="n">
        <v>42767</v>
      </c>
      <c r="B3" s="2" t="n">
        <v>2100</v>
      </c>
      <c r="C3" s="2" t="n">
        <v>0</v>
      </c>
      <c r="D3" s="2" t="n">
        <v>0</v>
      </c>
      <c r="E3" s="2" t="n">
        <v>0</v>
      </c>
      <c r="F3" s="2" t="n">
        <v>1</v>
      </c>
      <c r="G3" s="2" t="n">
        <v>0</v>
      </c>
      <c r="H3" s="2" t="n">
        <f aca="false">0.35 * E3 + 0.2 * C3 + 0.2 * G3 + 0.15 * F3 + 0.1 * D3</f>
        <v>0.15</v>
      </c>
      <c r="I3" s="2" t="n">
        <v>1</v>
      </c>
      <c r="J3" s="2" t="n">
        <v>1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f aca="false">0.3*L3 + 0.25 * M3+0.2 * J3 + 0.15*N3 + 0.1 * I3</f>
        <v>0.3</v>
      </c>
      <c r="P3" s="2" t="n">
        <v>1</v>
      </c>
      <c r="Q3" s="2" t="n">
        <v>1</v>
      </c>
      <c r="R3" s="2" t="n">
        <v>0</v>
      </c>
      <c r="S3" s="2" t="n">
        <v>0</v>
      </c>
      <c r="T3" s="2" t="n">
        <v>0</v>
      </c>
      <c r="U3" s="2" t="n">
        <v>0</v>
      </c>
      <c r="V3" s="3" t="n">
        <f aca="false">0.3 * Q3 + 0.25 * S3 + 0.2 * T3 + 0.15 * U3 + 0.1 * P3</f>
        <v>0.4</v>
      </c>
      <c r="W3" s="3" t="n">
        <f aca="false">H3*O3</f>
        <v>0.045</v>
      </c>
      <c r="X3" s="3" t="n">
        <f aca="false">H3*V3</f>
        <v>0.06</v>
      </c>
      <c r="Y3" s="3" t="n">
        <f aca="false">O3*V3</f>
        <v>0.12</v>
      </c>
      <c r="Z3" s="3" t="n">
        <f aca="false">H3*O3*V3</f>
        <v>0.018</v>
      </c>
    </row>
    <row r="4" customFormat="false" ht="13.8" hidden="false" customHeight="false" outlineLevel="0" collapsed="false">
      <c r="A4" s="1" t="n">
        <v>42795</v>
      </c>
      <c r="B4" s="2" t="n">
        <v>2156.52173913043</v>
      </c>
      <c r="C4" s="2" t="n">
        <v>0</v>
      </c>
      <c r="D4" s="2" t="n">
        <v>0</v>
      </c>
      <c r="E4" s="2" t="n">
        <v>0</v>
      </c>
      <c r="F4" s="2" t="n">
        <v>1</v>
      </c>
      <c r="G4" s="2" t="n">
        <v>0</v>
      </c>
      <c r="H4" s="2" t="n">
        <f aca="false">0.35 * E4 + 0.2 * C4 + 0.2 * G4 + 0.15 * F4 + 0.1 * D4</f>
        <v>0.15</v>
      </c>
      <c r="I4" s="2" t="n">
        <v>1</v>
      </c>
      <c r="J4" s="2" t="n">
        <v>1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f aca="false">0.3*L4 + 0.25 * M4+0.2 * J4 + 0.15*N4 + 0.1 * I4</f>
        <v>0.3</v>
      </c>
      <c r="P4" s="2" t="n">
        <v>1</v>
      </c>
      <c r="Q4" s="2" t="n">
        <v>1</v>
      </c>
      <c r="R4" s="2" t="n">
        <v>0</v>
      </c>
      <c r="S4" s="2" t="n">
        <v>0</v>
      </c>
      <c r="T4" s="2" t="n">
        <v>0</v>
      </c>
      <c r="U4" s="2" t="n">
        <v>0</v>
      </c>
      <c r="V4" s="3" t="n">
        <f aca="false">0.3 * Q4 + 0.25 * S4 + 0.2 * T4 + 0.15 * U4 + 0.1 * P4</f>
        <v>0.4</v>
      </c>
      <c r="W4" s="3" t="n">
        <f aca="false">H4*O4</f>
        <v>0.045</v>
      </c>
      <c r="X4" s="3" t="n">
        <f aca="false">H4*V4</f>
        <v>0.06</v>
      </c>
      <c r="Y4" s="3" t="n">
        <f aca="false">O4*V4</f>
        <v>0.12</v>
      </c>
      <c r="Z4" s="3" t="n">
        <f aca="false">H4*O4*V4</f>
        <v>0.018</v>
      </c>
    </row>
    <row r="5" customFormat="false" ht="13.8" hidden="false" customHeight="false" outlineLevel="0" collapsed="false">
      <c r="A5" s="1" t="n">
        <v>42826</v>
      </c>
      <c r="B5" s="2" t="n">
        <v>2125</v>
      </c>
      <c r="C5" s="2" t="n">
        <v>0</v>
      </c>
      <c r="D5" s="2" t="n">
        <v>0</v>
      </c>
      <c r="E5" s="2" t="n">
        <v>0</v>
      </c>
      <c r="F5" s="2" t="n">
        <v>1</v>
      </c>
      <c r="G5" s="2" t="n">
        <v>0</v>
      </c>
      <c r="H5" s="2" t="n">
        <f aca="false">0.35 * E5 + 0.2 * C5 + 0.2 * G5 + 0.15 * F5 + 0.1 * D5</f>
        <v>0.15</v>
      </c>
      <c r="I5" s="2" t="n">
        <v>1</v>
      </c>
      <c r="J5" s="2" t="n">
        <v>1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f aca="false">0.3*L5 + 0.25 * M5+0.2 * J5 + 0.15*N5 + 0.1 * I5</f>
        <v>0.3</v>
      </c>
      <c r="P5" s="2" t="n">
        <v>1</v>
      </c>
      <c r="Q5" s="2" t="n">
        <v>1</v>
      </c>
      <c r="R5" s="2" t="n">
        <v>0</v>
      </c>
      <c r="S5" s="2" t="n">
        <v>0</v>
      </c>
      <c r="T5" s="2" t="n">
        <v>0</v>
      </c>
      <c r="U5" s="2" t="n">
        <v>0</v>
      </c>
      <c r="V5" s="3" t="n">
        <f aca="false">0.3 * Q5 + 0.25 * S5 + 0.2 * T5 + 0.15 * U5 + 0.1 * P5</f>
        <v>0.4</v>
      </c>
      <c r="W5" s="3" t="n">
        <f aca="false">H5*O5</f>
        <v>0.045</v>
      </c>
      <c r="X5" s="3" t="n">
        <f aca="false">H5*V5</f>
        <v>0.06</v>
      </c>
      <c r="Y5" s="3" t="n">
        <f aca="false">O5*V5</f>
        <v>0.12</v>
      </c>
      <c r="Z5" s="3" t="n">
        <f aca="false">H5*O5*V5</f>
        <v>0.018</v>
      </c>
    </row>
    <row r="6" customFormat="false" ht="13.8" hidden="false" customHeight="false" outlineLevel="0" collapsed="false">
      <c r="A6" s="1" t="n">
        <v>42856</v>
      </c>
      <c r="B6" s="2" t="n">
        <v>2082.60869565217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</v>
      </c>
      <c r="H6" s="2" t="n">
        <f aca="false">0.35 * E6 + 0.2 * C6 + 0.2 * G6 + 0.15 * F6 + 0.1 * D6</f>
        <v>0.15</v>
      </c>
      <c r="I6" s="2" t="n">
        <v>1</v>
      </c>
      <c r="J6" s="2" t="n">
        <v>1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f aca="false">0.3*L6 + 0.25 * M6+0.2 * J6 + 0.15*N6 + 0.1 * I6</f>
        <v>0.3</v>
      </c>
      <c r="P6" s="2" t="n">
        <v>1</v>
      </c>
      <c r="Q6" s="2" t="n">
        <v>1</v>
      </c>
      <c r="R6" s="2" t="n">
        <v>0</v>
      </c>
      <c r="S6" s="2" t="n">
        <v>0</v>
      </c>
      <c r="T6" s="2" t="n">
        <v>0</v>
      </c>
      <c r="U6" s="2" t="n">
        <v>0</v>
      </c>
      <c r="V6" s="3" t="n">
        <f aca="false">0.3 * Q6 + 0.25 * S6 + 0.2 * T6 + 0.15 * U6 + 0.1 * P6</f>
        <v>0.4</v>
      </c>
      <c r="W6" s="3" t="n">
        <f aca="false">H6*O6</f>
        <v>0.045</v>
      </c>
      <c r="X6" s="3" t="n">
        <f aca="false">H6*V6</f>
        <v>0.06</v>
      </c>
      <c r="Y6" s="3" t="n">
        <f aca="false">O6*V6</f>
        <v>0.12</v>
      </c>
      <c r="Z6" s="3" t="n">
        <f aca="false">H6*O6*V6</f>
        <v>0.018</v>
      </c>
    </row>
    <row r="7" customFormat="false" ht="13.8" hidden="false" customHeight="false" outlineLevel="0" collapsed="false">
      <c r="A7" s="1" t="n">
        <v>42887</v>
      </c>
      <c r="B7" s="2" t="n">
        <v>2002.27272727272</v>
      </c>
      <c r="C7" s="2" t="n">
        <v>0</v>
      </c>
      <c r="D7" s="2" t="n">
        <v>0</v>
      </c>
      <c r="E7" s="2" t="n">
        <v>0</v>
      </c>
      <c r="F7" s="2" t="n">
        <v>1</v>
      </c>
      <c r="G7" s="2" t="n">
        <v>0</v>
      </c>
      <c r="H7" s="2" t="n">
        <f aca="false">0.35 * E7 + 0.2 * C7 + 0.2 * G7 + 0.15 * F7 + 0.1 * D7</f>
        <v>0.15</v>
      </c>
      <c r="I7" s="2" t="n">
        <v>1</v>
      </c>
      <c r="J7" s="2" t="n">
        <v>1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f aca="false">0.3*L7 + 0.25 * M7+0.2 * J7 + 0.15*N7 + 0.1 * I7</f>
        <v>0.3</v>
      </c>
      <c r="P7" s="2" t="n">
        <v>1</v>
      </c>
      <c r="Q7" s="2" t="n">
        <v>1</v>
      </c>
      <c r="R7" s="2" t="n">
        <v>0</v>
      </c>
      <c r="S7" s="2" t="n">
        <v>0</v>
      </c>
      <c r="T7" s="2" t="n">
        <v>0</v>
      </c>
      <c r="U7" s="2" t="n">
        <v>0</v>
      </c>
      <c r="V7" s="3" t="n">
        <f aca="false">0.3 * Q7 + 0.25 * S7 + 0.2 * T7 + 0.15 * U7 + 0.1 * P7</f>
        <v>0.4</v>
      </c>
      <c r="W7" s="3" t="n">
        <f aca="false">H7*O7</f>
        <v>0.045</v>
      </c>
      <c r="X7" s="3" t="n">
        <f aca="false">H7*V7</f>
        <v>0.06</v>
      </c>
      <c r="Y7" s="3" t="n">
        <f aca="false">O7*V7</f>
        <v>0.12</v>
      </c>
      <c r="Z7" s="3" t="n">
        <f aca="false">H7*O7*V7</f>
        <v>0.018</v>
      </c>
    </row>
    <row r="8" customFormat="false" ht="13.8" hidden="false" customHeight="false" outlineLevel="0" collapsed="false">
      <c r="A8" s="1" t="n">
        <v>42917</v>
      </c>
      <c r="B8" s="2" t="n">
        <v>1900</v>
      </c>
      <c r="C8" s="2" t="n">
        <v>0</v>
      </c>
      <c r="D8" s="2" t="n">
        <v>0</v>
      </c>
      <c r="E8" s="2" t="n">
        <v>0</v>
      </c>
      <c r="F8" s="2" t="n">
        <v>1</v>
      </c>
      <c r="G8" s="2" t="n">
        <v>0</v>
      </c>
      <c r="H8" s="2" t="n">
        <f aca="false">0.35 * E8 + 0.2 * C8 + 0.2 * G8 + 0.15 * F8 + 0.1 * D8</f>
        <v>0.15</v>
      </c>
      <c r="I8" s="2" t="n">
        <v>1</v>
      </c>
      <c r="J8" s="2" t="n">
        <v>1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f aca="false">0.3*L8 + 0.25 * M8+0.2 * J8 + 0.15*N8 + 0.1 * I8</f>
        <v>0.3</v>
      </c>
      <c r="P8" s="2" t="n">
        <v>1</v>
      </c>
      <c r="Q8" s="2" t="n">
        <v>1</v>
      </c>
      <c r="R8" s="2" t="n">
        <v>0</v>
      </c>
      <c r="S8" s="2" t="n">
        <v>0</v>
      </c>
      <c r="T8" s="2" t="n">
        <v>0</v>
      </c>
      <c r="U8" s="2" t="n">
        <v>0</v>
      </c>
      <c r="V8" s="3" t="n">
        <f aca="false">0.3 * Q8 + 0.25 * S8 + 0.2 * T8 + 0.15 * U8 + 0.1 * P8</f>
        <v>0.4</v>
      </c>
      <c r="W8" s="3" t="n">
        <f aca="false">H8*O8</f>
        <v>0.045</v>
      </c>
      <c r="X8" s="3" t="n">
        <f aca="false">H8*V8</f>
        <v>0.06</v>
      </c>
      <c r="Y8" s="3" t="n">
        <f aca="false">O8*V8</f>
        <v>0.12</v>
      </c>
      <c r="Z8" s="3" t="n">
        <f aca="false">H8*O8*V8</f>
        <v>0.018</v>
      </c>
    </row>
    <row r="9" customFormat="false" ht="13.8" hidden="false" customHeight="false" outlineLevel="0" collapsed="false">
      <c r="A9" s="1" t="n">
        <v>42948</v>
      </c>
      <c r="B9" s="2" t="n">
        <v>1900</v>
      </c>
      <c r="C9" s="2" t="n">
        <v>0</v>
      </c>
      <c r="D9" s="2" t="n">
        <v>0</v>
      </c>
      <c r="E9" s="2" t="n">
        <v>0</v>
      </c>
      <c r="F9" s="2" t="n">
        <v>1</v>
      </c>
      <c r="G9" s="2" t="n">
        <v>0</v>
      </c>
      <c r="H9" s="2" t="n">
        <f aca="false">0.35 * E9 + 0.2 * C9 + 0.2 * G9 + 0.15 * F9 + 0.1 * D9</f>
        <v>0.15</v>
      </c>
      <c r="I9" s="2" t="n">
        <v>1</v>
      </c>
      <c r="J9" s="2" t="n">
        <v>1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f aca="false">0.3*L9 + 0.25 * M9+0.2 * J9 + 0.15*N9 + 0.1 * I9</f>
        <v>0.3</v>
      </c>
      <c r="P9" s="2" t="n">
        <v>1</v>
      </c>
      <c r="Q9" s="2" t="n">
        <v>1</v>
      </c>
      <c r="R9" s="2" t="n">
        <v>0</v>
      </c>
      <c r="S9" s="2" t="n">
        <v>0</v>
      </c>
      <c r="T9" s="2" t="n">
        <v>0</v>
      </c>
      <c r="U9" s="2" t="n">
        <v>0</v>
      </c>
      <c r="V9" s="3" t="n">
        <f aca="false">0.3 * Q9 + 0.25 * S9 + 0.2 * T9 + 0.15 * U9 + 0.1 * P9</f>
        <v>0.4</v>
      </c>
      <c r="W9" s="3" t="n">
        <f aca="false">H9*O9</f>
        <v>0.045</v>
      </c>
      <c r="X9" s="3" t="n">
        <f aca="false">H9*V9</f>
        <v>0.06</v>
      </c>
      <c r="Y9" s="3" t="n">
        <f aca="false">O9*V9</f>
        <v>0.12</v>
      </c>
      <c r="Z9" s="3" t="n">
        <f aca="false">H9*O9*V9</f>
        <v>0.018</v>
      </c>
    </row>
    <row r="10" customFormat="false" ht="13.8" hidden="false" customHeight="false" outlineLevel="0" collapsed="false">
      <c r="A10" s="1" t="n">
        <v>42979</v>
      </c>
      <c r="B10" s="2" t="n">
        <v>1876.19047619047</v>
      </c>
      <c r="C10" s="2" t="n">
        <v>0</v>
      </c>
      <c r="D10" s="2" t="n">
        <v>0</v>
      </c>
      <c r="E10" s="2" t="n">
        <v>0</v>
      </c>
      <c r="F10" s="2" t="n">
        <v>1</v>
      </c>
      <c r="G10" s="2" t="n">
        <v>0</v>
      </c>
      <c r="H10" s="2" t="n">
        <f aca="false">0.35 * E10 + 0.2 * C10 + 0.2 * G10 + 0.15 * F10 + 0.1 * D10</f>
        <v>0.15</v>
      </c>
      <c r="I10" s="2" t="n">
        <v>1</v>
      </c>
      <c r="J10" s="2" t="n">
        <v>1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f aca="false">0.3*L10 + 0.25 * M10+0.2 * J10 + 0.15*N10 + 0.1 * I10</f>
        <v>0.3</v>
      </c>
      <c r="P10" s="2" t="n">
        <v>1</v>
      </c>
      <c r="Q10" s="2" t="n">
        <v>1</v>
      </c>
      <c r="R10" s="2" t="n">
        <v>0</v>
      </c>
      <c r="S10" s="2" t="n">
        <v>0</v>
      </c>
      <c r="T10" s="2" t="n">
        <v>0</v>
      </c>
      <c r="U10" s="2" t="n">
        <v>0</v>
      </c>
      <c r="V10" s="3" t="n">
        <f aca="false">0.3 * Q10 + 0.25 * S10 + 0.2 * T10 + 0.15 * U10 + 0.1 * P10</f>
        <v>0.4</v>
      </c>
      <c r="W10" s="3" t="n">
        <f aca="false">H10*O10</f>
        <v>0.045</v>
      </c>
      <c r="X10" s="3" t="n">
        <f aca="false">H10*V10</f>
        <v>0.06</v>
      </c>
      <c r="Y10" s="3" t="n">
        <f aca="false">O10*V10</f>
        <v>0.12</v>
      </c>
      <c r="Z10" s="3" t="n">
        <f aca="false">H10*O10*V10</f>
        <v>0.018</v>
      </c>
    </row>
    <row r="11" customFormat="false" ht="13.8" hidden="false" customHeight="false" outlineLevel="0" collapsed="false">
      <c r="A11" s="1" t="n">
        <v>43009</v>
      </c>
      <c r="B11" s="2" t="n">
        <v>1828.40909090909</v>
      </c>
      <c r="C11" s="2" t="n">
        <v>0</v>
      </c>
      <c r="D11" s="2" t="n">
        <v>0</v>
      </c>
      <c r="E11" s="2" t="n">
        <v>0</v>
      </c>
      <c r="F11" s="2" t="n">
        <v>1</v>
      </c>
      <c r="G11" s="2" t="n">
        <v>0</v>
      </c>
      <c r="H11" s="2" t="n">
        <f aca="false">0.35 * E11 + 0.2 * C11 + 0.2 * G11 + 0.15 * F11 + 0.1 * D11</f>
        <v>0.15</v>
      </c>
      <c r="I11" s="2" t="n">
        <v>1</v>
      </c>
      <c r="J11" s="2" t="n">
        <v>1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f aca="false">0.3*L11 + 0.25 * M11+0.2 * J11 + 0.15*N11 + 0.1 * I11</f>
        <v>0.3</v>
      </c>
      <c r="P11" s="2" t="n">
        <v>1</v>
      </c>
      <c r="Q11" s="2" t="n">
        <v>1</v>
      </c>
      <c r="R11" s="2" t="n">
        <v>0</v>
      </c>
      <c r="S11" s="2" t="n">
        <v>0</v>
      </c>
      <c r="T11" s="2" t="n">
        <v>0</v>
      </c>
      <c r="U11" s="2" t="n">
        <v>0</v>
      </c>
      <c r="V11" s="3" t="n">
        <f aca="false">0.3 * Q11 + 0.25 * S11 + 0.2 * T11 + 0.15 * U11 + 0.1 * P11</f>
        <v>0.4</v>
      </c>
      <c r="W11" s="3" t="n">
        <f aca="false">H11*O11</f>
        <v>0.045</v>
      </c>
      <c r="X11" s="3" t="n">
        <f aca="false">H11*V11</f>
        <v>0.06</v>
      </c>
      <c r="Y11" s="3" t="n">
        <f aca="false">O11*V11</f>
        <v>0.12</v>
      </c>
      <c r="Z11" s="3" t="n">
        <f aca="false">H11*O11*V11</f>
        <v>0.018</v>
      </c>
    </row>
    <row r="12" customFormat="false" ht="13.8" hidden="false" customHeight="false" outlineLevel="0" collapsed="false">
      <c r="A12" s="1" t="n">
        <v>43040</v>
      </c>
      <c r="B12" s="2" t="n">
        <v>1825</v>
      </c>
      <c r="C12" s="2" t="n">
        <v>0</v>
      </c>
      <c r="D12" s="2" t="n">
        <v>0</v>
      </c>
      <c r="E12" s="2" t="n">
        <v>0</v>
      </c>
      <c r="F12" s="2" t="n">
        <v>1</v>
      </c>
      <c r="G12" s="2" t="n">
        <v>0</v>
      </c>
      <c r="H12" s="2" t="n">
        <f aca="false">0.35 * E12 + 0.2 * C12 + 0.2 * G12 + 0.15 * F12 + 0.1 * D12</f>
        <v>0.15</v>
      </c>
      <c r="I12" s="2" t="n">
        <v>1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f aca="false">0.3*L12 + 0.25 * M12+0.2 * J12 + 0.15*N12 + 0.1 * I12</f>
        <v>0.3</v>
      </c>
      <c r="P12" s="2" t="n">
        <v>1</v>
      </c>
      <c r="Q12" s="2" t="n">
        <v>1</v>
      </c>
      <c r="R12" s="2" t="n">
        <v>0</v>
      </c>
      <c r="S12" s="2" t="n">
        <v>0</v>
      </c>
      <c r="T12" s="2" t="n">
        <v>0</v>
      </c>
      <c r="U12" s="2" t="n">
        <v>0</v>
      </c>
      <c r="V12" s="3" t="n">
        <f aca="false">0.3 * Q12 + 0.25 * S12 + 0.2 * T12 + 0.15 * U12 + 0.1 * P12</f>
        <v>0.4</v>
      </c>
      <c r="W12" s="3" t="n">
        <f aca="false">H12*O12</f>
        <v>0.045</v>
      </c>
      <c r="X12" s="3" t="n">
        <f aca="false">H12*V12</f>
        <v>0.06</v>
      </c>
      <c r="Y12" s="3" t="n">
        <f aca="false">O12*V12</f>
        <v>0.12</v>
      </c>
      <c r="Z12" s="3" t="n">
        <f aca="false">H12*O12*V12</f>
        <v>0.018</v>
      </c>
    </row>
    <row r="13" customFormat="false" ht="13.8" hidden="false" customHeight="false" outlineLevel="0" collapsed="false">
      <c r="A13" s="1" t="n">
        <v>43070</v>
      </c>
      <c r="B13" s="2" t="n">
        <v>1796.19047619047</v>
      </c>
      <c r="C13" s="2" t="n">
        <v>0</v>
      </c>
      <c r="D13" s="2" t="n">
        <v>0</v>
      </c>
      <c r="E13" s="2" t="n">
        <v>0</v>
      </c>
      <c r="F13" s="2" t="n">
        <v>1</v>
      </c>
      <c r="G13" s="2" t="n">
        <v>0</v>
      </c>
      <c r="H13" s="2" t="n">
        <f aca="false">0.35 * E13 + 0.2 * C13 + 0.2 * G13 + 0.15 * F13 + 0.1 * D13</f>
        <v>0.15</v>
      </c>
      <c r="I13" s="2" t="n">
        <v>1</v>
      </c>
      <c r="J13" s="2" t="n">
        <v>1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f aca="false">0.3*L13 + 0.25 * M13+0.2 * J13 + 0.15*N13 + 0.1 * I13</f>
        <v>0.3</v>
      </c>
      <c r="P13" s="2" t="n">
        <v>1</v>
      </c>
      <c r="Q13" s="2" t="n">
        <v>1</v>
      </c>
      <c r="R13" s="2" t="n">
        <v>0</v>
      </c>
      <c r="S13" s="2" t="n">
        <v>0</v>
      </c>
      <c r="T13" s="2" t="n">
        <v>0</v>
      </c>
      <c r="U13" s="2" t="n">
        <v>0</v>
      </c>
      <c r="V13" s="3" t="n">
        <f aca="false">0.3 * Q13 + 0.25 * S13 + 0.2 * T13 + 0.15 * U13 + 0.1 * P13</f>
        <v>0.4</v>
      </c>
      <c r="W13" s="3" t="n">
        <f aca="false">H13*O13</f>
        <v>0.045</v>
      </c>
      <c r="X13" s="3" t="n">
        <f aca="false">H13*V13</f>
        <v>0.06</v>
      </c>
      <c r="Y13" s="3" t="n">
        <f aca="false">O13*V13</f>
        <v>0.12</v>
      </c>
      <c r="Z13" s="3" t="n">
        <f aca="false">H13*O13*V13</f>
        <v>0.018</v>
      </c>
    </row>
    <row r="14" customFormat="false" ht="13.8" hidden="false" customHeight="false" outlineLevel="0" collapsed="false">
      <c r="A14" s="1" t="n">
        <v>43101</v>
      </c>
      <c r="B14" s="2" t="n">
        <v>1826.52173913043</v>
      </c>
      <c r="C14" s="2" t="n">
        <v>0</v>
      </c>
      <c r="D14" s="2" t="n">
        <v>0</v>
      </c>
      <c r="E14" s="2" t="n">
        <v>0</v>
      </c>
      <c r="F14" s="2" t="n">
        <v>1</v>
      </c>
      <c r="G14" s="2" t="n">
        <v>0</v>
      </c>
      <c r="H14" s="2" t="n">
        <f aca="false">0.35 * E14 + 0.2 * C14 + 0.2 * G14 + 0.15 * F14 + 0.1 * D14</f>
        <v>0.15</v>
      </c>
      <c r="I14" s="2" t="n">
        <v>1</v>
      </c>
      <c r="J14" s="2" t="n">
        <v>1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f aca="false">0.3*L14 + 0.25 * M14+0.2 * J14 + 0.15*N14 + 0.1 * I14</f>
        <v>0.3</v>
      </c>
      <c r="P14" s="2" t="n">
        <v>1</v>
      </c>
      <c r="Q14" s="2" t="n">
        <v>1</v>
      </c>
      <c r="R14" s="2" t="n">
        <v>0</v>
      </c>
      <c r="S14" s="2" t="n">
        <v>0</v>
      </c>
      <c r="T14" s="2" t="n">
        <v>0</v>
      </c>
      <c r="U14" s="2" t="n">
        <v>0</v>
      </c>
      <c r="V14" s="3" t="n">
        <f aca="false">0.3 * Q14 + 0.25 * S14 + 0.2 * T14 + 0.15 * U14 + 0.1 * P14</f>
        <v>0.4</v>
      </c>
      <c r="W14" s="3" t="n">
        <f aca="false">H14*O14</f>
        <v>0.045</v>
      </c>
      <c r="X14" s="3" t="n">
        <f aca="false">H14*V14</f>
        <v>0.06</v>
      </c>
      <c r="Y14" s="3" t="n">
        <f aca="false">O14*V14</f>
        <v>0.12</v>
      </c>
      <c r="Z14" s="3" t="n">
        <f aca="false">H14*O14*V14</f>
        <v>0.018</v>
      </c>
    </row>
    <row r="15" customFormat="false" ht="13.8" hidden="false" customHeight="false" outlineLevel="0" collapsed="false">
      <c r="A15" s="1" t="n">
        <v>43132</v>
      </c>
      <c r="B15" s="2" t="n">
        <v>2078.75</v>
      </c>
      <c r="C15" s="2" t="n">
        <v>0</v>
      </c>
      <c r="D15" s="2" t="n">
        <v>0</v>
      </c>
      <c r="E15" s="2" t="n">
        <v>0</v>
      </c>
      <c r="F15" s="2" t="n">
        <v>1</v>
      </c>
      <c r="G15" s="2" t="n">
        <v>0</v>
      </c>
      <c r="H15" s="2" t="n">
        <f aca="false">0.35 * E15 + 0.2 * C15 + 0.2 * G15 + 0.15 * F15 + 0.1 * D15</f>
        <v>0.15</v>
      </c>
      <c r="I15" s="2" t="n">
        <v>1</v>
      </c>
      <c r="J15" s="2" t="n">
        <v>1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f aca="false">0.3*L15 + 0.25 * M15+0.2 * J15 + 0.15*N15 + 0.1 * I15</f>
        <v>0.3</v>
      </c>
      <c r="P15" s="2" t="n">
        <v>1</v>
      </c>
      <c r="Q15" s="2" t="n">
        <v>1</v>
      </c>
      <c r="R15" s="2" t="n">
        <v>0</v>
      </c>
      <c r="S15" s="2" t="n">
        <v>0</v>
      </c>
      <c r="T15" s="2" t="n">
        <v>0</v>
      </c>
      <c r="U15" s="2" t="n">
        <v>0</v>
      </c>
      <c r="V15" s="3" t="n">
        <f aca="false">0.3 * Q15 + 0.25 * S15 + 0.2 * T15 + 0.15 * U15 + 0.1 * P15</f>
        <v>0.4</v>
      </c>
      <c r="W15" s="3" t="n">
        <f aca="false">H15*O15</f>
        <v>0.045</v>
      </c>
      <c r="X15" s="3" t="n">
        <f aca="false">H15*V15</f>
        <v>0.06</v>
      </c>
      <c r="Y15" s="3" t="n">
        <f aca="false">O15*V15</f>
        <v>0.12</v>
      </c>
      <c r="Z15" s="3" t="n">
        <f aca="false">H15*O15*V15</f>
        <v>0.018</v>
      </c>
    </row>
    <row r="16" customFormat="false" ht="13.8" hidden="false" customHeight="false" outlineLevel="0" collapsed="false">
      <c r="A16" s="1" t="n">
        <v>43160</v>
      </c>
      <c r="B16" s="2" t="n">
        <v>2234.0909090909</v>
      </c>
      <c r="C16" s="2" t="n">
        <v>1</v>
      </c>
      <c r="D16" s="2" t="n">
        <v>0</v>
      </c>
      <c r="E16" s="2" t="n">
        <v>0</v>
      </c>
      <c r="F16" s="2" t="n">
        <v>1</v>
      </c>
      <c r="G16" s="2" t="n">
        <v>0</v>
      </c>
      <c r="H16" s="2" t="n">
        <f aca="false">0.35 * E16 + 0.2 * C16 + 0.2 * G16 + 0.15 * F16 + 0.1 * D16</f>
        <v>0.35</v>
      </c>
      <c r="I16" s="2" t="n">
        <v>1</v>
      </c>
      <c r="J16" s="2" t="n">
        <v>1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f aca="false">0.3*L16 + 0.25 * M16+0.2 * J16 + 0.15*N16 + 0.1 * I16</f>
        <v>0.3</v>
      </c>
      <c r="P16" s="2" t="n">
        <v>1</v>
      </c>
      <c r="Q16" s="2" t="n">
        <v>1</v>
      </c>
      <c r="R16" s="2" t="n">
        <v>0</v>
      </c>
      <c r="S16" s="2" t="n">
        <v>0</v>
      </c>
      <c r="T16" s="2" t="n">
        <v>0</v>
      </c>
      <c r="U16" s="2" t="n">
        <v>0</v>
      </c>
      <c r="V16" s="3" t="n">
        <f aca="false">0.3 * Q16 + 0.25 * S16 + 0.2 * T16 + 0.15 * U16 + 0.1 * P16</f>
        <v>0.4</v>
      </c>
      <c r="W16" s="3" t="n">
        <f aca="false">H16*O16</f>
        <v>0.105</v>
      </c>
      <c r="X16" s="3" t="n">
        <f aca="false">H16*V16</f>
        <v>0.14</v>
      </c>
      <c r="Y16" s="3" t="n">
        <f aca="false">O16*V16</f>
        <v>0.12</v>
      </c>
      <c r="Z16" s="3" t="n">
        <f aca="false">H16*O16*V16</f>
        <v>0.042</v>
      </c>
    </row>
    <row r="17" customFormat="false" ht="13.8" hidden="false" customHeight="false" outlineLevel="0" collapsed="false">
      <c r="A17" s="1" t="n">
        <v>43191</v>
      </c>
      <c r="B17" s="2" t="n">
        <v>2200</v>
      </c>
      <c r="C17" s="2" t="n">
        <v>1</v>
      </c>
      <c r="D17" s="2" t="n">
        <v>0</v>
      </c>
      <c r="E17" s="2" t="n">
        <v>0</v>
      </c>
      <c r="F17" s="2" t="n">
        <v>1</v>
      </c>
      <c r="G17" s="2" t="n">
        <v>0</v>
      </c>
      <c r="H17" s="2" t="n">
        <f aca="false">0.35 * E17 + 0.2 * C17 + 0.2 * G17 + 0.15 * F17 + 0.1 * D17</f>
        <v>0.35</v>
      </c>
      <c r="I17" s="2" t="n">
        <v>1</v>
      </c>
      <c r="J17" s="2" t="n">
        <v>1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f aca="false">0.3*L17 + 0.25 * M17+0.2 * J17 + 0.15*N17 + 0.1 * I17</f>
        <v>0.3</v>
      </c>
      <c r="P17" s="2" t="n">
        <v>1</v>
      </c>
      <c r="Q17" s="2" t="n">
        <v>1</v>
      </c>
      <c r="R17" s="2" t="n">
        <v>0</v>
      </c>
      <c r="S17" s="2" t="n">
        <v>0</v>
      </c>
      <c r="T17" s="2" t="n">
        <v>0</v>
      </c>
      <c r="U17" s="2" t="n">
        <v>0</v>
      </c>
      <c r="V17" s="3" t="n">
        <f aca="false">0.3 * Q17 + 0.25 * S17 + 0.2 * T17 + 0.15 * U17 + 0.1 * P17</f>
        <v>0.4</v>
      </c>
      <c r="W17" s="3" t="n">
        <f aca="false">H17*O17</f>
        <v>0.105</v>
      </c>
      <c r="X17" s="3" t="n">
        <f aca="false">H17*V17</f>
        <v>0.14</v>
      </c>
      <c r="Y17" s="3" t="n">
        <f aca="false">O17*V17</f>
        <v>0.12</v>
      </c>
      <c r="Z17" s="3" t="n">
        <f aca="false">H17*O17*V17</f>
        <v>0.042</v>
      </c>
    </row>
    <row r="18" customFormat="false" ht="13.8" hidden="false" customHeight="false" outlineLevel="0" collapsed="false">
      <c r="A18" s="1" t="n">
        <v>43221</v>
      </c>
      <c r="B18" s="2" t="n">
        <v>2523.91304347826</v>
      </c>
      <c r="C18" s="2" t="n">
        <v>1</v>
      </c>
      <c r="D18" s="2" t="n">
        <v>0</v>
      </c>
      <c r="E18" s="2" t="n">
        <v>0</v>
      </c>
      <c r="F18" s="2" t="n">
        <v>1</v>
      </c>
      <c r="G18" s="2" t="n">
        <v>0</v>
      </c>
      <c r="H18" s="2" t="n">
        <f aca="false">0.35 * E18 + 0.2 * C18 + 0.2 * G18 + 0.15 * F18 + 0.1 * D18</f>
        <v>0.35</v>
      </c>
      <c r="I18" s="2" t="n">
        <v>1</v>
      </c>
      <c r="J18" s="2" t="n">
        <v>1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f aca="false">0.3*L18 + 0.25 * M18+0.2 * J18 + 0.15*N18 + 0.1 * I18</f>
        <v>0.3</v>
      </c>
      <c r="P18" s="2" t="n">
        <v>1</v>
      </c>
      <c r="Q18" s="2" t="n">
        <v>1</v>
      </c>
      <c r="R18" s="2" t="n">
        <v>0</v>
      </c>
      <c r="S18" s="2" t="n">
        <v>0</v>
      </c>
      <c r="T18" s="2" t="n">
        <v>0</v>
      </c>
      <c r="U18" s="2" t="n">
        <v>0</v>
      </c>
      <c r="V18" s="3" t="n">
        <f aca="false">0.3 * Q18 + 0.25 * S18 + 0.2 * T18 + 0.15 * U18 + 0.1 * P18</f>
        <v>0.4</v>
      </c>
      <c r="W18" s="3" t="n">
        <f aca="false">H18*O18</f>
        <v>0.105</v>
      </c>
      <c r="X18" s="3" t="n">
        <f aca="false">H18*V18</f>
        <v>0.14</v>
      </c>
      <c r="Y18" s="3" t="n">
        <f aca="false">O18*V18</f>
        <v>0.12</v>
      </c>
      <c r="Z18" s="3" t="n">
        <f aca="false">H18*O18*V18</f>
        <v>0.042</v>
      </c>
    </row>
    <row r="19" customFormat="false" ht="13.8" hidden="false" customHeight="false" outlineLevel="0" collapsed="false">
      <c r="A19" s="1" t="n">
        <v>43252</v>
      </c>
      <c r="B19" s="2" t="n">
        <v>2357.14285714285</v>
      </c>
      <c r="C19" s="2" t="n">
        <v>1</v>
      </c>
      <c r="D19" s="2" t="n">
        <v>0</v>
      </c>
      <c r="E19" s="2" t="n">
        <v>0</v>
      </c>
      <c r="F19" s="2" t="n">
        <v>1</v>
      </c>
      <c r="G19" s="2" t="n">
        <v>0</v>
      </c>
      <c r="H19" s="2" t="n">
        <f aca="false">0.35 * E19 + 0.2 * C19 + 0.2 * G19 + 0.15 * F19 + 0.1 * D19</f>
        <v>0.35</v>
      </c>
      <c r="I19" s="2" t="n">
        <v>1</v>
      </c>
      <c r="J19" s="2" t="n">
        <v>1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f aca="false">0.3*L19 + 0.25 * M19+0.2 * J19 + 0.15*N19 + 0.1 * I19</f>
        <v>0.3</v>
      </c>
      <c r="P19" s="2" t="n">
        <v>1</v>
      </c>
      <c r="Q19" s="2" t="n">
        <v>1</v>
      </c>
      <c r="R19" s="2" t="n">
        <v>0</v>
      </c>
      <c r="S19" s="2" t="n">
        <v>0</v>
      </c>
      <c r="T19" s="2" t="n">
        <v>0</v>
      </c>
      <c r="U19" s="2" t="n">
        <v>0</v>
      </c>
      <c r="V19" s="3" t="n">
        <f aca="false">0.3 * Q19 + 0.25 * S19 + 0.2 * T19 + 0.15 * U19 + 0.1 * P19</f>
        <v>0.4</v>
      </c>
      <c r="W19" s="3" t="n">
        <f aca="false">H19*O19</f>
        <v>0.105</v>
      </c>
      <c r="X19" s="3" t="n">
        <f aca="false">H19*V19</f>
        <v>0.14</v>
      </c>
      <c r="Y19" s="3" t="n">
        <f aca="false">O19*V19</f>
        <v>0.12</v>
      </c>
      <c r="Z19" s="3" t="n">
        <f aca="false">H19*O19*V19</f>
        <v>0.042</v>
      </c>
    </row>
    <row r="20" customFormat="false" ht="13.8" hidden="false" customHeight="false" outlineLevel="0" collapsed="false">
      <c r="A20" s="1" t="n">
        <v>43282</v>
      </c>
      <c r="B20" s="2" t="n">
        <v>2300</v>
      </c>
      <c r="C20" s="2" t="n">
        <v>1</v>
      </c>
      <c r="D20" s="2" t="n">
        <v>0</v>
      </c>
      <c r="E20" s="2" t="n">
        <v>0</v>
      </c>
      <c r="F20" s="2" t="n">
        <v>1</v>
      </c>
      <c r="G20" s="2" t="n">
        <v>0</v>
      </c>
      <c r="H20" s="2" t="n">
        <f aca="false">0.35 * E20 + 0.2 * C20 + 0.2 * G20 + 0.15 * F20 + 0.1 * D20</f>
        <v>0.35</v>
      </c>
      <c r="I20" s="2" t="n">
        <v>1</v>
      </c>
      <c r="J20" s="2" t="n">
        <v>1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f aca="false">0.3*L20 + 0.25 * M20+0.2 * J20 + 0.15*N20 + 0.1 * I20</f>
        <v>0.3</v>
      </c>
      <c r="P20" s="2" t="n">
        <v>1</v>
      </c>
      <c r="Q20" s="2" t="n">
        <v>1</v>
      </c>
      <c r="R20" s="2" t="n">
        <v>0</v>
      </c>
      <c r="S20" s="2" t="n">
        <v>0</v>
      </c>
      <c r="T20" s="2" t="n">
        <v>0</v>
      </c>
      <c r="U20" s="2" t="n">
        <v>0</v>
      </c>
      <c r="V20" s="3" t="n">
        <f aca="false">0.3 * Q20 + 0.25 * S20 + 0.2 * T20 + 0.15 * U20 + 0.1 * P20</f>
        <v>0.4</v>
      </c>
      <c r="W20" s="3" t="n">
        <f aca="false">H20*O20</f>
        <v>0.105</v>
      </c>
      <c r="X20" s="3" t="n">
        <f aca="false">H20*V20</f>
        <v>0.14</v>
      </c>
      <c r="Y20" s="3" t="n">
        <f aca="false">O20*V20</f>
        <v>0.12</v>
      </c>
      <c r="Z20" s="3" t="n">
        <f aca="false">H20*O20*V20</f>
        <v>0.042</v>
      </c>
    </row>
    <row r="21" customFormat="false" ht="13.8" hidden="false" customHeight="false" outlineLevel="0" collapsed="false">
      <c r="A21" s="1" t="n">
        <v>43313</v>
      </c>
      <c r="B21" s="2" t="n">
        <v>2517.39130434782</v>
      </c>
      <c r="C21" s="2" t="n">
        <v>1</v>
      </c>
      <c r="D21" s="2" t="n">
        <v>0</v>
      </c>
      <c r="E21" s="2" t="n">
        <v>0</v>
      </c>
      <c r="F21" s="2" t="n">
        <v>1</v>
      </c>
      <c r="G21" s="2" t="n">
        <v>0</v>
      </c>
      <c r="H21" s="2" t="n">
        <f aca="false">0.35 * E21 + 0.2 * C21 + 0.2 * G21 + 0.15 * F21 + 0.1 * D21</f>
        <v>0.35</v>
      </c>
      <c r="I21" s="2" t="n">
        <v>1</v>
      </c>
      <c r="J21" s="2" t="n">
        <v>1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f aca="false">0.3*L21 + 0.25 * M21+0.2 * J21 + 0.15*N21 + 0.1 * I21</f>
        <v>0.3</v>
      </c>
      <c r="P21" s="2" t="n">
        <v>1</v>
      </c>
      <c r="Q21" s="2" t="n">
        <v>1</v>
      </c>
      <c r="R21" s="2" t="n">
        <v>0</v>
      </c>
      <c r="S21" s="2" t="n">
        <v>0</v>
      </c>
      <c r="T21" s="2" t="n">
        <v>0</v>
      </c>
      <c r="U21" s="2" t="n">
        <v>0</v>
      </c>
      <c r="V21" s="3" t="n">
        <f aca="false">0.3 * Q21 + 0.25 * S21 + 0.2 * T21 + 0.15 * U21 + 0.1 * P21</f>
        <v>0.4</v>
      </c>
      <c r="W21" s="3" t="n">
        <f aca="false">H21*O21</f>
        <v>0.105</v>
      </c>
      <c r="X21" s="3" t="n">
        <f aca="false">H21*V21</f>
        <v>0.14</v>
      </c>
      <c r="Y21" s="3" t="n">
        <f aca="false">O21*V21</f>
        <v>0.12</v>
      </c>
      <c r="Z21" s="3" t="n">
        <f aca="false">H21*O21*V21</f>
        <v>0.042</v>
      </c>
    </row>
    <row r="22" customFormat="false" ht="13.8" hidden="false" customHeight="false" outlineLevel="0" collapsed="false">
      <c r="A22" s="1" t="n">
        <v>43344</v>
      </c>
      <c r="B22" s="2" t="n">
        <v>2800</v>
      </c>
      <c r="C22" s="2" t="n">
        <v>1</v>
      </c>
      <c r="D22" s="2" t="n">
        <v>0</v>
      </c>
      <c r="E22" s="2" t="n">
        <v>0</v>
      </c>
      <c r="F22" s="2" t="n">
        <v>1</v>
      </c>
      <c r="G22" s="2" t="n">
        <v>0</v>
      </c>
      <c r="H22" s="2" t="n">
        <f aca="false">0.35 * E22 + 0.2 * C22 + 0.2 * G22 + 0.15 * F22 + 0.1 * D22</f>
        <v>0.35</v>
      </c>
      <c r="I22" s="2" t="n">
        <v>1</v>
      </c>
      <c r="J22" s="2" t="n">
        <v>1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f aca="false">0.3*L22 + 0.25 * M22+0.2 * J22 + 0.15*N22 + 0.1 * I22</f>
        <v>0.3</v>
      </c>
      <c r="P22" s="2" t="n">
        <v>1</v>
      </c>
      <c r="Q22" s="2" t="n">
        <v>1</v>
      </c>
      <c r="R22" s="2" t="n">
        <v>0</v>
      </c>
      <c r="S22" s="2" t="n">
        <v>0</v>
      </c>
      <c r="T22" s="2" t="n">
        <v>0</v>
      </c>
      <c r="U22" s="2" t="n">
        <v>0</v>
      </c>
      <c r="V22" s="3" t="n">
        <f aca="false">0.3 * Q22 + 0.25 * S22 + 0.2 * T22 + 0.15 * U22 + 0.1 * P22</f>
        <v>0.4</v>
      </c>
      <c r="W22" s="3" t="n">
        <f aca="false">H22*O22</f>
        <v>0.105</v>
      </c>
      <c r="X22" s="3" t="n">
        <f aca="false">H22*V22</f>
        <v>0.14</v>
      </c>
      <c r="Y22" s="3" t="n">
        <f aca="false">O22*V22</f>
        <v>0.12</v>
      </c>
      <c r="Z22" s="3" t="n">
        <f aca="false">H22*O22*V22</f>
        <v>0.042</v>
      </c>
    </row>
    <row r="23" customFormat="false" ht="13.8" hidden="false" customHeight="false" outlineLevel="0" collapsed="false">
      <c r="A23" s="1" t="n">
        <v>43374</v>
      </c>
      <c r="B23" s="2" t="n">
        <v>2765.21739130434</v>
      </c>
      <c r="C23" s="2" t="n">
        <v>1</v>
      </c>
      <c r="D23" s="2" t="n">
        <v>0</v>
      </c>
      <c r="E23" s="2" t="n">
        <v>0</v>
      </c>
      <c r="F23" s="2" t="n">
        <v>1</v>
      </c>
      <c r="G23" s="2" t="n">
        <v>0</v>
      </c>
      <c r="H23" s="2" t="n">
        <f aca="false">0.35 * E23 + 0.2 * C23 + 0.2 * G23 + 0.15 * F23 + 0.1 * D23</f>
        <v>0.35</v>
      </c>
      <c r="I23" s="2" t="n">
        <v>1</v>
      </c>
      <c r="J23" s="2" t="n">
        <v>1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f aca="false">0.3*L23 + 0.25 * M23+0.2 * J23 + 0.15*N23 + 0.1 * I23</f>
        <v>0.3</v>
      </c>
      <c r="P23" s="2" t="n">
        <v>1</v>
      </c>
      <c r="Q23" s="2" t="n">
        <v>1</v>
      </c>
      <c r="R23" s="2" t="n">
        <v>0</v>
      </c>
      <c r="S23" s="2" t="n">
        <v>0</v>
      </c>
      <c r="T23" s="2" t="n">
        <v>0</v>
      </c>
      <c r="U23" s="2" t="n">
        <v>0</v>
      </c>
      <c r="V23" s="3" t="n">
        <f aca="false">0.3 * Q23 + 0.25 * S23 + 0.2 * T23 + 0.15 * U23 + 0.1 * P23</f>
        <v>0.4</v>
      </c>
      <c r="W23" s="3" t="n">
        <f aca="false">H23*O23</f>
        <v>0.105</v>
      </c>
      <c r="X23" s="3" t="n">
        <f aca="false">H23*V23</f>
        <v>0.14</v>
      </c>
      <c r="Y23" s="3" t="n">
        <f aca="false">O23*V23</f>
        <v>0.12</v>
      </c>
      <c r="Z23" s="3" t="n">
        <f aca="false">H23*O23*V23</f>
        <v>0.042</v>
      </c>
    </row>
    <row r="24" customFormat="false" ht="13.8" hidden="false" customHeight="false" outlineLevel="0" collapsed="false">
      <c r="A24" s="1" t="n">
        <v>43405</v>
      </c>
      <c r="B24" s="2" t="n">
        <v>2600</v>
      </c>
      <c r="C24" s="2" t="n">
        <v>1</v>
      </c>
      <c r="D24" s="2" t="n">
        <v>0</v>
      </c>
      <c r="E24" s="2" t="n">
        <v>0</v>
      </c>
      <c r="F24" s="2" t="n">
        <v>1</v>
      </c>
      <c r="G24" s="2" t="n">
        <v>0</v>
      </c>
      <c r="H24" s="2" t="n">
        <f aca="false">0.35 * E24 + 0.2 * C24 + 0.2 * G24 + 0.15 * F24 + 0.1 * D24</f>
        <v>0.35</v>
      </c>
      <c r="I24" s="2" t="n">
        <v>1</v>
      </c>
      <c r="J24" s="2" t="n">
        <v>1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f aca="false">0.3*L24 + 0.25 * M24+0.2 * J24 + 0.15*N24 + 0.1 * I24</f>
        <v>0.3</v>
      </c>
      <c r="P24" s="2" t="n">
        <v>1</v>
      </c>
      <c r="Q24" s="2" t="n">
        <v>1</v>
      </c>
      <c r="R24" s="2" t="n">
        <v>0</v>
      </c>
      <c r="S24" s="2" t="n">
        <v>0</v>
      </c>
      <c r="T24" s="2" t="n">
        <v>0</v>
      </c>
      <c r="U24" s="2" t="n">
        <v>0</v>
      </c>
      <c r="V24" s="3" t="n">
        <f aca="false">0.3 * Q24 + 0.25 * S24 + 0.2 * T24 + 0.15 * U24 + 0.1 * P24</f>
        <v>0.4</v>
      </c>
      <c r="W24" s="3" t="n">
        <f aca="false">H24*O24</f>
        <v>0.105</v>
      </c>
      <c r="X24" s="3" t="n">
        <f aca="false">H24*V24</f>
        <v>0.14</v>
      </c>
      <c r="Y24" s="3" t="n">
        <f aca="false">O24*V24</f>
        <v>0.12</v>
      </c>
      <c r="Z24" s="3" t="n">
        <f aca="false">H24*O24*V24</f>
        <v>0.042</v>
      </c>
    </row>
    <row r="25" customFormat="false" ht="13.8" hidden="false" customHeight="false" outlineLevel="0" collapsed="false">
      <c r="A25" s="1" t="n">
        <v>43435</v>
      </c>
      <c r="B25" s="2" t="n">
        <v>2338.09523809523</v>
      </c>
      <c r="C25" s="2" t="n">
        <v>1</v>
      </c>
      <c r="D25" s="2" t="n">
        <v>0</v>
      </c>
      <c r="E25" s="2" t="n">
        <v>0</v>
      </c>
      <c r="F25" s="2" t="n">
        <v>1</v>
      </c>
      <c r="G25" s="2" t="n">
        <v>0</v>
      </c>
      <c r="H25" s="2" t="n">
        <f aca="false">0.35 * E25 + 0.2 * C25 + 0.2 * G25 + 0.15 * F25 + 0.1 * D25</f>
        <v>0.35</v>
      </c>
      <c r="I25" s="2" t="n">
        <v>1</v>
      </c>
      <c r="J25" s="2" t="n">
        <v>1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f aca="false">0.3*L25 + 0.25 * M25+0.2 * J25 + 0.15*N25 + 0.1 * I25</f>
        <v>0.3</v>
      </c>
      <c r="P25" s="2" t="n">
        <v>1</v>
      </c>
      <c r="Q25" s="2" t="n">
        <v>1</v>
      </c>
      <c r="R25" s="2" t="n">
        <v>0</v>
      </c>
      <c r="S25" s="2" t="n">
        <v>0</v>
      </c>
      <c r="T25" s="2" t="n">
        <v>0</v>
      </c>
      <c r="U25" s="2" t="n">
        <v>0</v>
      </c>
      <c r="V25" s="3" t="n">
        <f aca="false">0.3 * Q25 + 0.25 * S25 + 0.2 * T25 + 0.15 * U25 + 0.1 * P25</f>
        <v>0.4</v>
      </c>
      <c r="W25" s="3" t="n">
        <f aca="false">H25*O25</f>
        <v>0.105</v>
      </c>
      <c r="X25" s="3" t="n">
        <f aca="false">H25*V25</f>
        <v>0.14</v>
      </c>
      <c r="Y25" s="3" t="n">
        <f aca="false">O25*V25</f>
        <v>0.12</v>
      </c>
      <c r="Z25" s="3" t="n">
        <f aca="false">H25*O25*V25</f>
        <v>0.042</v>
      </c>
    </row>
    <row r="26" customFormat="false" ht="13.8" hidden="false" customHeight="false" outlineLevel="0" collapsed="false">
      <c r="A26" s="1" t="n">
        <v>43466</v>
      </c>
      <c r="B26" s="2" t="n">
        <v>2100</v>
      </c>
      <c r="C26" s="2" t="n">
        <v>1</v>
      </c>
      <c r="D26" s="2" t="n">
        <v>0</v>
      </c>
      <c r="E26" s="2" t="n">
        <v>0</v>
      </c>
      <c r="F26" s="2" t="n">
        <v>1</v>
      </c>
      <c r="G26" s="2" t="n">
        <v>0</v>
      </c>
      <c r="H26" s="2" t="n">
        <f aca="false">0.35 * E26 + 0.2 * C26 + 0.2 * G26 + 0.15 * F26 + 0.1 * D26</f>
        <v>0.35</v>
      </c>
      <c r="I26" s="2" t="n">
        <v>1</v>
      </c>
      <c r="J26" s="2" t="n">
        <v>1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f aca="false">0.3*L26 + 0.25 * M26+0.2 * J26 + 0.15*N26 + 0.1 * I26</f>
        <v>0.3</v>
      </c>
      <c r="P26" s="2" t="n">
        <v>0</v>
      </c>
      <c r="Q26" s="2" t="n">
        <v>1</v>
      </c>
      <c r="R26" s="2" t="n">
        <v>0</v>
      </c>
      <c r="S26" s="2" t="n">
        <v>0</v>
      </c>
      <c r="T26" s="2" t="n">
        <v>0</v>
      </c>
      <c r="U26" s="2" t="n">
        <v>0</v>
      </c>
      <c r="V26" s="3" t="n">
        <f aca="false">0.3 * Q26 + 0.25 * S26 + 0.2 * T26 + 0.15 * U26 + 0.1 * P26</f>
        <v>0.3</v>
      </c>
      <c r="W26" s="3" t="n">
        <f aca="false">H26*O26</f>
        <v>0.105</v>
      </c>
      <c r="X26" s="3" t="n">
        <f aca="false">H26*V26</f>
        <v>0.105</v>
      </c>
      <c r="Y26" s="3" t="n">
        <f aca="false">O26*V26</f>
        <v>0.09</v>
      </c>
      <c r="Z26" s="3" t="n">
        <f aca="false">H26*O26*V26</f>
        <v>0.0315</v>
      </c>
    </row>
    <row r="27" customFormat="false" ht="13.8" hidden="false" customHeight="false" outlineLevel="0" collapsed="false">
      <c r="A27" s="1" t="n">
        <v>43497</v>
      </c>
      <c r="B27" s="2" t="n">
        <v>2100</v>
      </c>
      <c r="C27" s="2" t="n">
        <v>1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f aca="false">0.35 * E27 + 0.2 * C27 + 0.2 * G27 + 0.15 * F27 + 0.1 * D27</f>
        <v>0.2</v>
      </c>
      <c r="I27" s="2" t="n">
        <v>1</v>
      </c>
      <c r="J27" s="2" t="n">
        <v>1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f aca="false">0.3*L27 + 0.25 * M27+0.2 * J27 + 0.15*N27 + 0.1 * I27</f>
        <v>0.3</v>
      </c>
      <c r="P27" s="2" t="n">
        <v>0</v>
      </c>
      <c r="Q27" s="2" t="n">
        <v>1</v>
      </c>
      <c r="R27" s="2" t="n">
        <v>0</v>
      </c>
      <c r="S27" s="2" t="n">
        <v>0</v>
      </c>
      <c r="T27" s="2" t="n">
        <v>0</v>
      </c>
      <c r="U27" s="2" t="n">
        <v>0</v>
      </c>
      <c r="V27" s="3" t="n">
        <f aca="false">0.3 * Q27 + 0.25 * S27 + 0.2 * T27 + 0.15 * U27 + 0.1 * P27</f>
        <v>0.3</v>
      </c>
      <c r="W27" s="3" t="n">
        <f aca="false">H27*O27</f>
        <v>0.06</v>
      </c>
      <c r="X27" s="3" t="n">
        <f aca="false">H27*V27</f>
        <v>0.06</v>
      </c>
      <c r="Y27" s="3" t="n">
        <f aca="false">O27*V27</f>
        <v>0.09</v>
      </c>
      <c r="Z27" s="3" t="n">
        <f aca="false">H27*O27*V27</f>
        <v>0.018</v>
      </c>
    </row>
    <row r="28" customFormat="false" ht="13.8" hidden="false" customHeight="false" outlineLevel="0" collapsed="false">
      <c r="A28" s="1" t="n">
        <v>43525</v>
      </c>
      <c r="B28" s="2" t="n">
        <v>2021.42857142857</v>
      </c>
      <c r="C28" s="2" t="n">
        <v>1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f aca="false">0.35 * E28 + 0.2 * C28 + 0.2 * G28 + 0.15 * F28 + 0.1 * D28</f>
        <v>0.2</v>
      </c>
      <c r="I28" s="2" t="n">
        <v>1</v>
      </c>
      <c r="J28" s="2" t="n">
        <v>1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f aca="false">0.3*L28 + 0.25 * M28+0.2 * J28 + 0.15*N28 + 0.1 * I28</f>
        <v>0.3</v>
      </c>
      <c r="P28" s="2" t="n">
        <v>0</v>
      </c>
      <c r="Q28" s="2" t="n">
        <v>1</v>
      </c>
      <c r="R28" s="2" t="n">
        <v>0</v>
      </c>
      <c r="S28" s="2" t="n">
        <v>0</v>
      </c>
      <c r="T28" s="2" t="n">
        <v>0</v>
      </c>
      <c r="U28" s="2" t="n">
        <v>0</v>
      </c>
      <c r="V28" s="3" t="n">
        <f aca="false">0.3 * Q28 + 0.25 * S28 + 0.2 * T28 + 0.15 * U28 + 0.1 * P28</f>
        <v>0.3</v>
      </c>
      <c r="W28" s="3" t="n">
        <f aca="false">H28*O28</f>
        <v>0.06</v>
      </c>
      <c r="X28" s="3" t="n">
        <f aca="false">H28*V28</f>
        <v>0.06</v>
      </c>
      <c r="Y28" s="3" t="n">
        <f aca="false">O28*V28</f>
        <v>0.09</v>
      </c>
      <c r="Z28" s="3" t="n">
        <f aca="false">H28*O28*V28</f>
        <v>0.018</v>
      </c>
    </row>
    <row r="29" customFormat="false" ht="13.8" hidden="false" customHeight="false" outlineLevel="0" collapsed="false">
      <c r="A29" s="1" t="n">
        <v>43556</v>
      </c>
      <c r="B29" s="2" t="n">
        <v>1950</v>
      </c>
      <c r="C29" s="2" t="n">
        <v>1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f aca="false">0.35 * E29 + 0.2 * C29 + 0.2 * G29 + 0.15 * F29 + 0.1 * D29</f>
        <v>0.2</v>
      </c>
      <c r="I29" s="2" t="n">
        <v>1</v>
      </c>
      <c r="J29" s="2" t="n">
        <v>1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f aca="false">0.3*L29 + 0.25 * M29+0.2 * J29 + 0.15*N29 + 0.1 * I29</f>
        <v>0.3</v>
      </c>
      <c r="P29" s="2" t="n">
        <v>0</v>
      </c>
      <c r="Q29" s="2" t="n">
        <v>1</v>
      </c>
      <c r="R29" s="2" t="n">
        <v>0</v>
      </c>
      <c r="S29" s="2" t="n">
        <v>0</v>
      </c>
      <c r="T29" s="2" t="n">
        <v>0</v>
      </c>
      <c r="U29" s="2" t="n">
        <v>0</v>
      </c>
      <c r="V29" s="3" t="n">
        <f aca="false">0.3 * Q29 + 0.25 * S29 + 0.2 * T29 + 0.15 * U29 + 0.1 * P29</f>
        <v>0.3</v>
      </c>
      <c r="W29" s="3" t="n">
        <f aca="false">H29*O29</f>
        <v>0.06</v>
      </c>
      <c r="X29" s="3" t="n">
        <f aca="false">H29*V29</f>
        <v>0.06</v>
      </c>
      <c r="Y29" s="3" t="n">
        <f aca="false">O29*V29</f>
        <v>0.09</v>
      </c>
      <c r="Z29" s="3" t="n">
        <f aca="false">H29*O29*V29</f>
        <v>0.018</v>
      </c>
    </row>
    <row r="30" customFormat="false" ht="13.8" hidden="false" customHeight="false" outlineLevel="0" collapsed="false">
      <c r="A30" s="1" t="n">
        <v>43586</v>
      </c>
      <c r="B30" s="2" t="n">
        <v>1992.39130434782</v>
      </c>
      <c r="C30" s="2" t="n">
        <v>1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f aca="false">0.35 * E30 + 0.2 * C30 + 0.2 * G30 + 0.15 * F30 + 0.1 * D30</f>
        <v>0.2</v>
      </c>
      <c r="I30" s="2" t="n">
        <v>1</v>
      </c>
      <c r="J30" s="2" t="n">
        <v>1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f aca="false">0.3*L30 + 0.25 * M30+0.2 * J30 + 0.15*N30 + 0.1 * I30</f>
        <v>0.3</v>
      </c>
      <c r="P30" s="2" t="n">
        <v>0</v>
      </c>
      <c r="Q30" s="2" t="n">
        <v>1</v>
      </c>
      <c r="R30" s="2" t="n">
        <v>0</v>
      </c>
      <c r="S30" s="2" t="n">
        <v>0</v>
      </c>
      <c r="T30" s="2" t="n">
        <v>0</v>
      </c>
      <c r="U30" s="2" t="n">
        <v>0</v>
      </c>
      <c r="V30" s="3" t="n">
        <f aca="false">0.3 * Q30 + 0.25 * S30 + 0.2 * T30 + 0.15 * U30 + 0.1 * P30</f>
        <v>0.3</v>
      </c>
      <c r="W30" s="3" t="n">
        <f aca="false">H30*O30</f>
        <v>0.06</v>
      </c>
      <c r="X30" s="3" t="n">
        <f aca="false">H30*V30</f>
        <v>0.06</v>
      </c>
      <c r="Y30" s="3" t="n">
        <f aca="false">O30*V30</f>
        <v>0.09</v>
      </c>
      <c r="Z30" s="3" t="n">
        <f aca="false">H30*O30*V30</f>
        <v>0.018</v>
      </c>
    </row>
    <row r="31" customFormat="false" ht="13.8" hidden="false" customHeight="false" outlineLevel="0" collapsed="false">
      <c r="A31" s="1" t="n">
        <v>43617</v>
      </c>
      <c r="B31" s="2" t="n">
        <v>1965.75</v>
      </c>
      <c r="C31" s="2" t="n">
        <v>1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f aca="false">0.35 * E31 + 0.2 * C31 + 0.2 * G31 + 0.15 * F31 + 0.1 * D31</f>
        <v>0.2</v>
      </c>
      <c r="I31" s="2" t="n">
        <v>1</v>
      </c>
      <c r="J31" s="2" t="n">
        <v>1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f aca="false">0.3*L31 + 0.25 * M31+0.2 * J31 + 0.15*N31 + 0.1 * I31</f>
        <v>0.3</v>
      </c>
      <c r="P31" s="2" t="n">
        <v>0</v>
      </c>
      <c r="Q31" s="2" t="n">
        <v>1</v>
      </c>
      <c r="R31" s="2" t="n">
        <v>0</v>
      </c>
      <c r="S31" s="2" t="n">
        <v>0</v>
      </c>
      <c r="T31" s="2" t="n">
        <v>0</v>
      </c>
      <c r="U31" s="2" t="n">
        <v>0</v>
      </c>
      <c r="V31" s="3" t="n">
        <f aca="false">0.3 * Q31 + 0.25 * S31 + 0.2 * T31 + 0.15 * U31 + 0.1 * P31</f>
        <v>0.3</v>
      </c>
      <c r="W31" s="3" t="n">
        <f aca="false">H31*O31</f>
        <v>0.06</v>
      </c>
      <c r="X31" s="3" t="n">
        <f aca="false">H31*V31</f>
        <v>0.06</v>
      </c>
      <c r="Y31" s="3" t="n">
        <f aca="false">O31*V31</f>
        <v>0.09</v>
      </c>
      <c r="Z31" s="3" t="n">
        <f aca="false">H31*O31*V31</f>
        <v>0.018</v>
      </c>
    </row>
    <row r="32" customFormat="false" ht="13.8" hidden="false" customHeight="false" outlineLevel="0" collapsed="false">
      <c r="A32" s="1" t="n">
        <v>43647</v>
      </c>
      <c r="B32" s="2" t="n">
        <v>1962.60869565217</v>
      </c>
      <c r="C32" s="2" t="n">
        <v>1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f aca="false">0.35 * E32 + 0.2 * C32 + 0.2 * G32 + 0.15 * F32 + 0.1 * D32</f>
        <v>0.2</v>
      </c>
      <c r="I32" s="2" t="n">
        <v>1</v>
      </c>
      <c r="J32" s="2" t="n">
        <v>1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f aca="false">0.3*L32 + 0.25 * M32+0.2 * J32 + 0.15*N32 + 0.1 * I32</f>
        <v>0.3</v>
      </c>
      <c r="P32" s="2" t="n">
        <v>0</v>
      </c>
      <c r="Q32" s="2" t="n">
        <v>1</v>
      </c>
      <c r="R32" s="2" t="n">
        <v>0</v>
      </c>
      <c r="S32" s="2" t="n">
        <v>0</v>
      </c>
      <c r="T32" s="2" t="n">
        <v>0</v>
      </c>
      <c r="U32" s="2" t="n">
        <v>0</v>
      </c>
      <c r="V32" s="3" t="n">
        <f aca="false">0.3 * Q32 + 0.25 * S32 + 0.2 * T32 + 0.15 * U32 + 0.1 * P32</f>
        <v>0.3</v>
      </c>
      <c r="W32" s="3" t="n">
        <f aca="false">H32*O32</f>
        <v>0.06</v>
      </c>
      <c r="X32" s="3" t="n">
        <f aca="false">H32*V32</f>
        <v>0.06</v>
      </c>
      <c r="Y32" s="3" t="n">
        <f aca="false">O32*V32</f>
        <v>0.09</v>
      </c>
      <c r="Z32" s="3" t="n">
        <f aca="false">H32*O32*V32</f>
        <v>0.018</v>
      </c>
    </row>
    <row r="33" customFormat="false" ht="13.8" hidden="false" customHeight="false" outlineLevel="0" collapsed="false">
      <c r="A33" s="1" t="n">
        <v>43678</v>
      </c>
      <c r="B33" s="2" t="n">
        <v>1907.27272727272</v>
      </c>
      <c r="C33" s="2" t="n">
        <v>1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f aca="false">0.35 * E33 + 0.2 * C33 + 0.2 * G33 + 0.15 * F33 + 0.1 * D33</f>
        <v>0.2</v>
      </c>
      <c r="I33" s="2" t="n">
        <v>1</v>
      </c>
      <c r="J33" s="2" t="n">
        <v>1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f aca="false">0.3*L33 + 0.25 * M33+0.2 * J33 + 0.15*N33 + 0.1 * I33</f>
        <v>0.3</v>
      </c>
      <c r="P33" s="2" t="n">
        <v>0</v>
      </c>
      <c r="Q33" s="2" t="n">
        <v>1</v>
      </c>
      <c r="R33" s="2" t="n">
        <v>0</v>
      </c>
      <c r="S33" s="2" t="n">
        <v>0</v>
      </c>
      <c r="T33" s="2" t="n">
        <v>0</v>
      </c>
      <c r="U33" s="2" t="n">
        <v>0</v>
      </c>
      <c r="V33" s="3" t="n">
        <f aca="false">0.3 * Q33 + 0.25 * S33 + 0.2 * T33 + 0.15 * U33 + 0.1 * P33</f>
        <v>0.3</v>
      </c>
      <c r="W33" s="3" t="n">
        <f aca="false">H33*O33</f>
        <v>0.06</v>
      </c>
      <c r="X33" s="3" t="n">
        <f aca="false">H33*V33</f>
        <v>0.06</v>
      </c>
      <c r="Y33" s="3" t="n">
        <f aca="false">O33*V33</f>
        <v>0.09</v>
      </c>
      <c r="Z33" s="3" t="n">
        <f aca="false">H33*O33*V33</f>
        <v>0.018</v>
      </c>
    </row>
    <row r="34" customFormat="false" ht="13.8" hidden="false" customHeight="false" outlineLevel="0" collapsed="false">
      <c r="A34" s="1" t="n">
        <v>43709</v>
      </c>
      <c r="B34" s="2" t="n">
        <v>1738.09523809523</v>
      </c>
      <c r="C34" s="2" t="n">
        <v>1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f aca="false">0.35 * E34 + 0.2 * C34 + 0.2 * G34 + 0.15 * F34 + 0.1 * D34</f>
        <v>0.2</v>
      </c>
      <c r="I34" s="2" t="n">
        <v>1</v>
      </c>
      <c r="J34" s="2" t="n">
        <v>1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f aca="false">0.3*L34 + 0.25 * M34+0.2 * J34 + 0.15*N34 + 0.1 * I34</f>
        <v>0.3</v>
      </c>
      <c r="P34" s="2" t="n">
        <v>0</v>
      </c>
      <c r="Q34" s="2" t="n">
        <v>1</v>
      </c>
      <c r="R34" s="2" t="n">
        <v>0</v>
      </c>
      <c r="S34" s="2" t="n">
        <v>0</v>
      </c>
      <c r="T34" s="2" t="n">
        <v>0</v>
      </c>
      <c r="U34" s="2" t="n">
        <v>0</v>
      </c>
      <c r="V34" s="3" t="n">
        <f aca="false">0.3 * Q34 + 0.25 * S34 + 0.2 * T34 + 0.15 * U34 + 0.1 * P34</f>
        <v>0.3</v>
      </c>
      <c r="W34" s="3" t="n">
        <f aca="false">H34*O34</f>
        <v>0.06</v>
      </c>
      <c r="X34" s="3" t="n">
        <f aca="false">H34*V34</f>
        <v>0.06</v>
      </c>
      <c r="Y34" s="3" t="n">
        <f aca="false">O34*V34</f>
        <v>0.09</v>
      </c>
      <c r="Z34" s="3" t="n">
        <f aca="false">H34*O34*V34</f>
        <v>0.018</v>
      </c>
    </row>
    <row r="35" customFormat="false" ht="13.8" hidden="false" customHeight="false" outlineLevel="0" collapsed="false">
      <c r="A35" s="1" t="n">
        <v>43739</v>
      </c>
      <c r="B35" s="2" t="n">
        <v>1750</v>
      </c>
      <c r="C35" s="2" t="n">
        <v>1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f aca="false">0.35 * E35 + 0.2 * C35 + 0.2 * G35 + 0.15 * F35 + 0.1 * D35</f>
        <v>0.2</v>
      </c>
      <c r="I35" s="2" t="n">
        <v>1</v>
      </c>
      <c r="J35" s="2" t="n">
        <v>1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f aca="false">0.3*L35 + 0.25 * M35+0.2 * J35 + 0.15*N35 + 0.1 * I35</f>
        <v>0.3</v>
      </c>
      <c r="P35" s="2" t="n">
        <v>0</v>
      </c>
      <c r="Q35" s="2" t="n">
        <v>1</v>
      </c>
      <c r="R35" s="2" t="n">
        <v>0</v>
      </c>
      <c r="S35" s="2" t="n">
        <v>0</v>
      </c>
      <c r="T35" s="2" t="n">
        <v>0</v>
      </c>
      <c r="U35" s="2" t="n">
        <v>0</v>
      </c>
      <c r="V35" s="3" t="n">
        <f aca="false">0.3 * Q35 + 0.25 * S35 + 0.2 * T35 + 0.15 * U35 + 0.1 * P35</f>
        <v>0.3</v>
      </c>
      <c r="W35" s="3" t="n">
        <f aca="false">H35*O35</f>
        <v>0.06</v>
      </c>
      <c r="X35" s="3" t="n">
        <f aca="false">H35*V35</f>
        <v>0.06</v>
      </c>
      <c r="Y35" s="3" t="n">
        <f aca="false">O35*V35</f>
        <v>0.09</v>
      </c>
      <c r="Z35" s="3" t="n">
        <f aca="false">H35*O35*V35</f>
        <v>0.018</v>
      </c>
    </row>
    <row r="36" customFormat="false" ht="13.8" hidden="false" customHeight="false" outlineLevel="0" collapsed="false">
      <c r="A36" s="1" t="n">
        <v>43770</v>
      </c>
      <c r="B36" s="2" t="n">
        <v>1684.52380952381</v>
      </c>
      <c r="C36" s="2" t="n">
        <v>1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f aca="false">0.35 * E36 + 0.2 * C36 + 0.2 * G36 + 0.15 * F36 + 0.1 * D36</f>
        <v>0.2</v>
      </c>
      <c r="I36" s="2" t="n">
        <v>1</v>
      </c>
      <c r="J36" s="2" t="n">
        <v>1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f aca="false">0.3*L36 + 0.25 * M36+0.2 * J36 + 0.15*N36 + 0.1 * I36</f>
        <v>0.3</v>
      </c>
      <c r="P36" s="2" t="n">
        <v>0</v>
      </c>
      <c r="Q36" s="2" t="n">
        <v>1</v>
      </c>
      <c r="R36" s="2" t="n">
        <v>0</v>
      </c>
      <c r="S36" s="2" t="n">
        <v>0</v>
      </c>
      <c r="T36" s="2" t="n">
        <v>0</v>
      </c>
      <c r="U36" s="2" t="n">
        <v>0</v>
      </c>
      <c r="V36" s="3" t="n">
        <f aca="false">0.3 * Q36 + 0.25 * S36 + 0.2 * T36 + 0.15 * U36 + 0.1 * P36</f>
        <v>0.3</v>
      </c>
      <c r="W36" s="3" t="n">
        <f aca="false">H36*O36</f>
        <v>0.06</v>
      </c>
      <c r="X36" s="3" t="n">
        <f aca="false">H36*V36</f>
        <v>0.06</v>
      </c>
      <c r="Y36" s="3" t="n">
        <f aca="false">O36*V36</f>
        <v>0.09</v>
      </c>
      <c r="Z36" s="3" t="n">
        <f aca="false">H36*O36*V36</f>
        <v>0.018</v>
      </c>
    </row>
    <row r="37" customFormat="false" ht="13.8" hidden="false" customHeight="false" outlineLevel="0" collapsed="false">
      <c r="A37" s="1" t="n">
        <v>43800</v>
      </c>
      <c r="B37" s="2" t="n">
        <v>1625</v>
      </c>
      <c r="C37" s="2" t="n">
        <v>1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f aca="false">0.35 * E37 + 0.2 * C37 + 0.2 * G37 + 0.15 * F37 + 0.1 * D37</f>
        <v>0.2</v>
      </c>
      <c r="I37" s="2" t="n">
        <v>1</v>
      </c>
      <c r="J37" s="2" t="n">
        <v>1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f aca="false">0.3*L37 + 0.25 * M37+0.2 * J37 + 0.15*N37 + 0.1 * I37</f>
        <v>0.3</v>
      </c>
      <c r="P37" s="2" t="n">
        <v>0</v>
      </c>
      <c r="Q37" s="2" t="n">
        <v>1</v>
      </c>
      <c r="R37" s="2" t="n">
        <v>0</v>
      </c>
      <c r="S37" s="2" t="n">
        <v>0</v>
      </c>
      <c r="T37" s="2" t="n">
        <v>0</v>
      </c>
      <c r="U37" s="2" t="n">
        <v>0</v>
      </c>
      <c r="V37" s="3" t="n">
        <f aca="false">0.3 * Q37 + 0.25 * S37 + 0.2 * T37 + 0.15 * U37 + 0.1 * P37</f>
        <v>0.3</v>
      </c>
      <c r="W37" s="3" t="n">
        <f aca="false">H37*O37</f>
        <v>0.06</v>
      </c>
      <c r="X37" s="3" t="n">
        <f aca="false">H37*V37</f>
        <v>0.06</v>
      </c>
      <c r="Y37" s="3" t="n">
        <f aca="false">O37*V37</f>
        <v>0.09</v>
      </c>
      <c r="Z37" s="3" t="n">
        <f aca="false">H37*O37*V37</f>
        <v>0.018</v>
      </c>
    </row>
    <row r="38" customFormat="false" ht="13.8" hidden="false" customHeight="false" outlineLevel="0" collapsed="false">
      <c r="A38" s="1" t="n">
        <v>43831</v>
      </c>
      <c r="B38" s="2" t="n">
        <v>1644.5652173913</v>
      </c>
      <c r="C38" s="2" t="n">
        <v>1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f aca="false">0.35 * E38 + 0.2 * C38 + 0.2 * G38 + 0.15 * F38 + 0.1 * D38</f>
        <v>0.2</v>
      </c>
      <c r="I38" s="2" t="n">
        <v>0</v>
      </c>
      <c r="J38" s="2" t="n">
        <v>1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f aca="false">0.3*L38 + 0.25 * M38+0.2 * J38 + 0.15*N38 + 0.1 * I38</f>
        <v>0.2</v>
      </c>
      <c r="P38" s="2" t="n">
        <v>0</v>
      </c>
      <c r="Q38" s="2" t="n">
        <v>1</v>
      </c>
      <c r="R38" s="2" t="n">
        <v>0</v>
      </c>
      <c r="S38" s="2" t="n">
        <v>0</v>
      </c>
      <c r="T38" s="2" t="n">
        <v>0</v>
      </c>
      <c r="U38" s="2" t="n">
        <v>0</v>
      </c>
      <c r="V38" s="3" t="n">
        <f aca="false">0.3 * Q38 + 0.25 * S38 + 0.2 * T38 + 0.15 * U38 + 0.1 * P38</f>
        <v>0.3</v>
      </c>
      <c r="W38" s="3" t="n">
        <f aca="false">H38*O38</f>
        <v>0.04</v>
      </c>
      <c r="X38" s="3" t="n">
        <f aca="false">H38*V38</f>
        <v>0.06</v>
      </c>
      <c r="Y38" s="3" t="n">
        <f aca="false">O38*V38</f>
        <v>0.06</v>
      </c>
      <c r="Z38" s="3" t="n">
        <f aca="false">H38*O38*V38</f>
        <v>0.012</v>
      </c>
    </row>
    <row r="39" customFormat="false" ht="13.8" hidden="false" customHeight="false" outlineLevel="0" collapsed="false">
      <c r="A39" s="1" t="n">
        <v>43862</v>
      </c>
      <c r="B39" s="2" t="n">
        <v>1958.75</v>
      </c>
      <c r="C39" s="2" t="n">
        <v>1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f aca="false">0.35 * E39 + 0.2 * C39 + 0.2 * G39 + 0.15 * F39 + 0.1 * D39</f>
        <v>0.2</v>
      </c>
      <c r="I39" s="2" t="n">
        <v>0</v>
      </c>
      <c r="J39" s="2" t="n">
        <v>1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f aca="false">0.3*L39 + 0.25 * M39+0.2 * J39 + 0.15*N39 + 0.1 * I39</f>
        <v>0.2</v>
      </c>
      <c r="P39" s="2" t="n">
        <v>0</v>
      </c>
      <c r="Q39" s="2" t="n">
        <v>1</v>
      </c>
      <c r="R39" s="2" t="n">
        <v>0</v>
      </c>
      <c r="S39" s="2" t="n">
        <v>0</v>
      </c>
      <c r="T39" s="2" t="n">
        <v>0</v>
      </c>
      <c r="U39" s="2" t="n">
        <v>0</v>
      </c>
      <c r="V39" s="3" t="n">
        <f aca="false">0.3 * Q39 + 0.25 * S39 + 0.2 * T39 + 0.15 * U39 + 0.1 * P39</f>
        <v>0.3</v>
      </c>
      <c r="W39" s="3" t="n">
        <f aca="false">H39*O39</f>
        <v>0.04</v>
      </c>
      <c r="X39" s="3" t="n">
        <f aca="false">H39*V39</f>
        <v>0.06</v>
      </c>
      <c r="Y39" s="3" t="n">
        <f aca="false">O39*V39</f>
        <v>0.06</v>
      </c>
      <c r="Z39" s="3" t="n">
        <f aca="false">H39*O39*V39</f>
        <v>0.012</v>
      </c>
    </row>
    <row r="40" customFormat="false" ht="13.8" hidden="false" customHeight="false" outlineLevel="0" collapsed="false">
      <c r="A40" s="1" t="n">
        <v>43891</v>
      </c>
      <c r="B40" s="2" t="n">
        <v>2275</v>
      </c>
      <c r="C40" s="2" t="n">
        <v>1</v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f aca="false">0.35 * E40 + 0.2 * C40 + 0.2 * G40 + 0.15 * F40 + 0.1 * D40</f>
        <v>0.3</v>
      </c>
      <c r="I40" s="2" t="n">
        <v>0</v>
      </c>
      <c r="J40" s="2" t="n">
        <v>1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f aca="false">0.3*L40 + 0.25 * M40+0.2 * J40 + 0.15*N40 + 0.1 * I40</f>
        <v>0.2</v>
      </c>
      <c r="P40" s="2" t="n">
        <v>0</v>
      </c>
      <c r="Q40" s="2" t="n">
        <v>1</v>
      </c>
      <c r="R40" s="2" t="n">
        <v>1</v>
      </c>
      <c r="S40" s="2" t="n">
        <v>0</v>
      </c>
      <c r="T40" s="2" t="n">
        <v>0</v>
      </c>
      <c r="U40" s="2" t="n">
        <v>0</v>
      </c>
      <c r="V40" s="3" t="n">
        <f aca="false">0.3 * Q40 + 0.25 * S40 + 0.2 * T40 + 0.15 * U40 + 0.1 * P40</f>
        <v>0.3</v>
      </c>
      <c r="W40" s="3" t="n">
        <f aca="false">H40*O40</f>
        <v>0.06</v>
      </c>
      <c r="X40" s="3" t="n">
        <f aca="false">H40*V40</f>
        <v>0.09</v>
      </c>
      <c r="Y40" s="3" t="n">
        <f aca="false">O40*V40</f>
        <v>0.06</v>
      </c>
      <c r="Z40" s="3" t="n">
        <f aca="false">H40*O40*V40</f>
        <v>0.018</v>
      </c>
    </row>
    <row r="41" customFormat="false" ht="13.8" hidden="false" customHeight="false" outlineLevel="0" collapsed="false">
      <c r="A41" s="1" t="n">
        <v>43922</v>
      </c>
      <c r="B41" s="2" t="n">
        <v>1680</v>
      </c>
      <c r="C41" s="2" t="n">
        <v>1</v>
      </c>
      <c r="D41" s="2" t="n">
        <v>1</v>
      </c>
      <c r="E41" s="2" t="n">
        <v>0</v>
      </c>
      <c r="F41" s="2" t="n">
        <v>0</v>
      </c>
      <c r="G41" s="2" t="n">
        <v>0</v>
      </c>
      <c r="H41" s="2" t="n">
        <f aca="false">0.35 * E41 + 0.2 * C41 + 0.2 * G41 + 0.15 * F41 + 0.1 * D41</f>
        <v>0.3</v>
      </c>
      <c r="I41" s="2" t="n">
        <v>0</v>
      </c>
      <c r="J41" s="2" t="n">
        <v>1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f aca="false">0.3*L41 + 0.25 * M41+0.2 * J41 + 0.15*N41 + 0.1 * I41</f>
        <v>0.2</v>
      </c>
      <c r="P41" s="2" t="n">
        <v>0</v>
      </c>
      <c r="Q41" s="2" t="n">
        <v>1</v>
      </c>
      <c r="R41" s="2" t="n">
        <v>1</v>
      </c>
      <c r="S41" s="2" t="n">
        <v>0</v>
      </c>
      <c r="T41" s="2" t="n">
        <v>0</v>
      </c>
      <c r="U41" s="2" t="n">
        <v>0</v>
      </c>
      <c r="V41" s="3" t="n">
        <f aca="false">0.3 * Q41 + 0.25 * S41 + 0.2 * T41 + 0.15 * U41 + 0.1 * P41</f>
        <v>0.3</v>
      </c>
      <c r="W41" s="3" t="n">
        <f aca="false">H41*O41</f>
        <v>0.06</v>
      </c>
      <c r="X41" s="3" t="n">
        <f aca="false">H41*V41</f>
        <v>0.09</v>
      </c>
      <c r="Y41" s="3" t="n">
        <f aca="false">O41*V41</f>
        <v>0.06</v>
      </c>
      <c r="Z41" s="3" t="n">
        <f aca="false">H41*O41*V41</f>
        <v>0.018</v>
      </c>
    </row>
    <row r="42" customFormat="false" ht="13.8" hidden="false" customHeight="false" outlineLevel="0" collapsed="false">
      <c r="A42" s="1" t="n">
        <v>43952</v>
      </c>
      <c r="B42" s="2" t="n">
        <v>1680</v>
      </c>
      <c r="C42" s="2" t="n">
        <v>1</v>
      </c>
      <c r="D42" s="2" t="n">
        <v>1</v>
      </c>
      <c r="E42" s="2" t="n">
        <v>0</v>
      </c>
      <c r="F42" s="2" t="n">
        <v>0</v>
      </c>
      <c r="G42" s="2" t="n">
        <v>0</v>
      </c>
      <c r="H42" s="2" t="n">
        <f aca="false">0.35 * E42 + 0.2 * C42 + 0.2 * G42 + 0.15 * F42 + 0.1 * D42</f>
        <v>0.3</v>
      </c>
      <c r="I42" s="2" t="n">
        <v>0</v>
      </c>
      <c r="J42" s="2" t="n">
        <v>1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f aca="false">0.3*L42 + 0.25 * M42+0.2 * J42 + 0.15*N42 + 0.1 * I42</f>
        <v>0.2</v>
      </c>
      <c r="P42" s="2" t="n">
        <v>0</v>
      </c>
      <c r="Q42" s="2" t="n">
        <v>1</v>
      </c>
      <c r="R42" s="2" t="n">
        <v>1</v>
      </c>
      <c r="S42" s="2" t="n">
        <v>0</v>
      </c>
      <c r="T42" s="2" t="n">
        <v>0</v>
      </c>
      <c r="U42" s="2" t="n">
        <v>0</v>
      </c>
      <c r="V42" s="3" t="n">
        <f aca="false">0.3 * Q42 + 0.25 * S42 + 0.2 * T42 + 0.15 * U42 + 0.1 * P42</f>
        <v>0.3</v>
      </c>
      <c r="W42" s="3" t="n">
        <f aca="false">H42*O42</f>
        <v>0.06</v>
      </c>
      <c r="X42" s="3" t="n">
        <f aca="false">H42*V42</f>
        <v>0.09</v>
      </c>
      <c r="Y42" s="3" t="n">
        <f aca="false">O42*V42</f>
        <v>0.06</v>
      </c>
      <c r="Z42" s="3" t="n">
        <f aca="false">H42*O42*V42</f>
        <v>0.018</v>
      </c>
    </row>
    <row r="43" customFormat="false" ht="13.8" hidden="false" customHeight="false" outlineLevel="0" collapsed="false">
      <c r="A43" s="1" t="n">
        <v>43983</v>
      </c>
      <c r="B43" s="2" t="n">
        <v>1662.27272727272</v>
      </c>
      <c r="C43" s="2" t="n">
        <v>1</v>
      </c>
      <c r="D43" s="2" t="n">
        <v>1</v>
      </c>
      <c r="E43" s="2" t="n">
        <v>0</v>
      </c>
      <c r="F43" s="2" t="n">
        <v>0</v>
      </c>
      <c r="G43" s="2" t="n">
        <v>0</v>
      </c>
      <c r="H43" s="2" t="n">
        <f aca="false">0.35 * E43 + 0.2 * C43 + 0.2 * G43 + 0.15 * F43 + 0.1 * D43</f>
        <v>0.3</v>
      </c>
      <c r="I43" s="2" t="n">
        <v>0</v>
      </c>
      <c r="J43" s="2" t="n">
        <v>1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f aca="false">0.3*L43 + 0.25 * M43+0.2 * J43 + 0.15*N43 + 0.1 * I43</f>
        <v>0.2</v>
      </c>
      <c r="P43" s="2" t="n">
        <v>0</v>
      </c>
      <c r="Q43" s="2" t="n">
        <v>1</v>
      </c>
      <c r="R43" s="2" t="n">
        <v>1</v>
      </c>
      <c r="S43" s="2" t="n">
        <v>0</v>
      </c>
      <c r="T43" s="2" t="n">
        <v>0</v>
      </c>
      <c r="U43" s="2" t="n">
        <v>0</v>
      </c>
      <c r="V43" s="3" t="n">
        <f aca="false">0.3 * Q43 + 0.25 * S43 + 0.2 * T43 + 0.15 * U43 + 0.1 * P43</f>
        <v>0.3</v>
      </c>
      <c r="W43" s="3" t="n">
        <f aca="false">H43*O43</f>
        <v>0.06</v>
      </c>
      <c r="X43" s="3" t="n">
        <f aca="false">H43*V43</f>
        <v>0.09</v>
      </c>
      <c r="Y43" s="3" t="n">
        <f aca="false">O43*V43</f>
        <v>0.06</v>
      </c>
      <c r="Z43" s="3" t="n">
        <f aca="false">H43*O43*V43</f>
        <v>0.018</v>
      </c>
    </row>
    <row r="44" customFormat="false" ht="13.8" hidden="false" customHeight="false" outlineLevel="0" collapsed="false">
      <c r="A44" s="1" t="n">
        <v>44013</v>
      </c>
      <c r="B44" s="2" t="n">
        <v>1623.91304347826</v>
      </c>
      <c r="C44" s="2" t="n">
        <v>1</v>
      </c>
      <c r="D44" s="2" t="n">
        <v>1</v>
      </c>
      <c r="E44" s="2" t="n">
        <v>0</v>
      </c>
      <c r="F44" s="2" t="n">
        <v>0</v>
      </c>
      <c r="G44" s="2" t="n">
        <v>0</v>
      </c>
      <c r="H44" s="2" t="n">
        <f aca="false">0.35 * E44 + 0.2 * C44 + 0.2 * G44 + 0.15 * F44 + 0.1 * D44</f>
        <v>0.3</v>
      </c>
      <c r="I44" s="2" t="n">
        <v>0</v>
      </c>
      <c r="J44" s="2" t="n">
        <v>1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f aca="false">0.3*L44 + 0.25 * M44+0.2 * J44 + 0.15*N44 + 0.1 * I44</f>
        <v>0.2</v>
      </c>
      <c r="P44" s="2" t="n">
        <v>0</v>
      </c>
      <c r="Q44" s="2" t="n">
        <v>1</v>
      </c>
      <c r="R44" s="2" t="n">
        <v>1</v>
      </c>
      <c r="S44" s="2" t="n">
        <v>0</v>
      </c>
      <c r="T44" s="2" t="n">
        <v>0</v>
      </c>
      <c r="U44" s="2" t="n">
        <v>0</v>
      </c>
      <c r="V44" s="3" t="n">
        <f aca="false">0.3 * Q44 + 0.25 * S44 + 0.2 * T44 + 0.15 * U44 + 0.1 * P44</f>
        <v>0.3</v>
      </c>
      <c r="W44" s="3" t="n">
        <f aca="false">H44*O44</f>
        <v>0.06</v>
      </c>
      <c r="X44" s="3" t="n">
        <f aca="false">H44*V44</f>
        <v>0.09</v>
      </c>
      <c r="Y44" s="3" t="n">
        <f aca="false">O44*V44</f>
        <v>0.06</v>
      </c>
      <c r="Z44" s="3" t="n">
        <f aca="false">H44*O44*V44</f>
        <v>0.018</v>
      </c>
    </row>
    <row r="45" customFormat="false" ht="13.8" hidden="false" customHeight="false" outlineLevel="0" collapsed="false">
      <c r="A45" s="1" t="n">
        <v>44044</v>
      </c>
      <c r="B45" s="2" t="n">
        <v>1571.66666666666</v>
      </c>
      <c r="C45" s="2" t="n">
        <v>1</v>
      </c>
      <c r="D45" s="2" t="n">
        <v>1</v>
      </c>
      <c r="E45" s="2" t="n">
        <v>0</v>
      </c>
      <c r="F45" s="2" t="n">
        <v>0</v>
      </c>
      <c r="G45" s="2" t="n">
        <v>0</v>
      </c>
      <c r="H45" s="2" t="n">
        <f aca="false">0.35 * E45 + 0.2 * C45 + 0.2 * G45 + 0.15 * F45 + 0.1 * D45</f>
        <v>0.3</v>
      </c>
      <c r="I45" s="2" t="n">
        <v>0</v>
      </c>
      <c r="J45" s="2" t="n">
        <v>1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f aca="false">0.3*L45 + 0.25 * M45+0.2 * J45 + 0.15*N45 + 0.1 * I45</f>
        <v>0.2</v>
      </c>
      <c r="P45" s="2" t="n">
        <v>0</v>
      </c>
      <c r="Q45" s="2" t="n">
        <v>1</v>
      </c>
      <c r="R45" s="2" t="n">
        <v>1</v>
      </c>
      <c r="S45" s="2" t="n">
        <v>0</v>
      </c>
      <c r="T45" s="2" t="n">
        <v>0</v>
      </c>
      <c r="U45" s="2" t="n">
        <v>0</v>
      </c>
      <c r="V45" s="3" t="n">
        <f aca="false">0.3 * Q45 + 0.25 * S45 + 0.2 * T45 + 0.15 * U45 + 0.1 * P45</f>
        <v>0.3</v>
      </c>
      <c r="W45" s="3" t="n">
        <f aca="false">H45*O45</f>
        <v>0.06</v>
      </c>
      <c r="X45" s="3" t="n">
        <f aca="false">H45*V45</f>
        <v>0.09</v>
      </c>
      <c r="Y45" s="3" t="n">
        <f aca="false">O45*V45</f>
        <v>0.06</v>
      </c>
      <c r="Z45" s="3" t="n">
        <f aca="false">H45*O45*V45</f>
        <v>0.018</v>
      </c>
    </row>
    <row r="46" customFormat="false" ht="13.8" hidden="false" customHeight="false" outlineLevel="0" collapsed="false">
      <c r="A46" s="1" t="n">
        <v>44075</v>
      </c>
      <c r="B46" s="2" t="n">
        <v>1612.8409090909</v>
      </c>
      <c r="C46" s="2" t="n">
        <v>1</v>
      </c>
      <c r="D46" s="2" t="n">
        <v>1</v>
      </c>
      <c r="E46" s="2" t="n">
        <v>0</v>
      </c>
      <c r="F46" s="2" t="n">
        <v>0</v>
      </c>
      <c r="G46" s="2" t="n">
        <v>0</v>
      </c>
      <c r="H46" s="2" t="n">
        <f aca="false">0.35 * E46 + 0.2 * C46 + 0.2 * G46 + 0.15 * F46 + 0.1 * D46</f>
        <v>0.3</v>
      </c>
      <c r="I46" s="2" t="n">
        <v>0</v>
      </c>
      <c r="J46" s="2" t="n">
        <v>1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f aca="false">0.3*L46 + 0.25 * M46+0.2 * J46 + 0.15*N46 + 0.1 * I46</f>
        <v>0.2</v>
      </c>
      <c r="P46" s="2" t="n">
        <v>0</v>
      </c>
      <c r="Q46" s="2" t="n">
        <v>1</v>
      </c>
      <c r="R46" s="2" t="n">
        <v>1</v>
      </c>
      <c r="S46" s="2" t="n">
        <v>0</v>
      </c>
      <c r="T46" s="2" t="n">
        <v>0</v>
      </c>
      <c r="U46" s="2" t="n">
        <v>0</v>
      </c>
      <c r="V46" s="3" t="n">
        <f aca="false">0.3 * Q46 + 0.25 * S46 + 0.2 * T46 + 0.15 * U46 + 0.1 * P46</f>
        <v>0.3</v>
      </c>
      <c r="W46" s="3" t="n">
        <f aca="false">H46*O46</f>
        <v>0.06</v>
      </c>
      <c r="X46" s="3" t="n">
        <f aca="false">H46*V46</f>
        <v>0.09</v>
      </c>
      <c r="Y46" s="3" t="n">
        <f aca="false">O46*V46</f>
        <v>0.06</v>
      </c>
      <c r="Z46" s="3" t="n">
        <f aca="false">H46*O46*V46</f>
        <v>0.018</v>
      </c>
    </row>
    <row r="47" customFormat="false" ht="13.8" hidden="false" customHeight="false" outlineLevel="0" collapsed="false">
      <c r="A47" s="1" t="n">
        <v>44105</v>
      </c>
      <c r="B47" s="2" t="n">
        <v>1665.45454545454</v>
      </c>
      <c r="C47" s="2" t="n">
        <v>1</v>
      </c>
      <c r="D47" s="2" t="n">
        <v>1</v>
      </c>
      <c r="E47" s="2" t="n">
        <v>0</v>
      </c>
      <c r="F47" s="2" t="n">
        <v>0</v>
      </c>
      <c r="G47" s="2" t="n">
        <v>0</v>
      </c>
      <c r="H47" s="2" t="n">
        <f aca="false">0.35 * E47 + 0.2 * C47 + 0.2 * G47 + 0.15 * F47 + 0.1 * D47</f>
        <v>0.3</v>
      </c>
      <c r="I47" s="2" t="n">
        <v>0</v>
      </c>
      <c r="J47" s="2" t="n">
        <v>1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f aca="false">0.3*L47 + 0.25 * M47+0.2 * J47 + 0.15*N47 + 0.1 * I47</f>
        <v>0.2</v>
      </c>
      <c r="P47" s="2" t="n">
        <v>0</v>
      </c>
      <c r="Q47" s="2" t="n">
        <v>1</v>
      </c>
      <c r="R47" s="2" t="n">
        <v>1</v>
      </c>
      <c r="S47" s="2" t="n">
        <v>0</v>
      </c>
      <c r="T47" s="2" t="n">
        <v>0</v>
      </c>
      <c r="U47" s="2" t="n">
        <v>0</v>
      </c>
      <c r="V47" s="3" t="n">
        <f aca="false">0.3 * Q47 + 0.25 * S47 + 0.2 * T47 + 0.15 * U47 + 0.1 * P47</f>
        <v>0.3</v>
      </c>
      <c r="W47" s="3" t="n">
        <f aca="false">H47*O47</f>
        <v>0.06</v>
      </c>
      <c r="X47" s="3" t="n">
        <f aca="false">H47*V47</f>
        <v>0.09</v>
      </c>
      <c r="Y47" s="3" t="n">
        <f aca="false">O47*V47</f>
        <v>0.06</v>
      </c>
      <c r="Z47" s="3" t="n">
        <f aca="false">H47*O47*V47</f>
        <v>0.018</v>
      </c>
    </row>
    <row r="48" customFormat="false" ht="13.8" hidden="false" customHeight="false" outlineLevel="0" collapsed="false">
      <c r="A48" s="1" t="n">
        <v>44136</v>
      </c>
      <c r="B48" s="2" t="n">
        <v>1589.16666666666</v>
      </c>
      <c r="C48" s="2" t="n">
        <v>1</v>
      </c>
      <c r="D48" s="2" t="n">
        <v>1</v>
      </c>
      <c r="E48" s="2" t="n">
        <v>0</v>
      </c>
      <c r="F48" s="2" t="n">
        <v>0</v>
      </c>
      <c r="G48" s="2" t="n">
        <v>0</v>
      </c>
      <c r="H48" s="2" t="n">
        <f aca="false">0.35 * E48 + 0.2 * C48 + 0.2 * G48 + 0.15 * F48 + 0.1 * D48</f>
        <v>0.3</v>
      </c>
      <c r="I48" s="2" t="n">
        <v>0</v>
      </c>
      <c r="J48" s="2" t="n">
        <v>1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f aca="false">0.3*L48 + 0.25 * M48+0.2 * J48 + 0.15*N48 + 0.1 * I48</f>
        <v>0.2</v>
      </c>
      <c r="P48" s="2" t="n">
        <v>0</v>
      </c>
      <c r="Q48" s="2" t="n">
        <v>1</v>
      </c>
      <c r="R48" s="2" t="n">
        <v>1</v>
      </c>
      <c r="S48" s="2" t="n">
        <v>0</v>
      </c>
      <c r="T48" s="2" t="n">
        <v>0</v>
      </c>
      <c r="U48" s="2" t="n">
        <v>0</v>
      </c>
      <c r="V48" s="3" t="n">
        <f aca="false">0.3 * Q48 + 0.25 * S48 + 0.2 * T48 + 0.15 * U48 + 0.1 * P48</f>
        <v>0.3</v>
      </c>
      <c r="W48" s="3" t="n">
        <f aca="false">H48*O48</f>
        <v>0.06</v>
      </c>
      <c r="X48" s="3" t="n">
        <f aca="false">H48*V48</f>
        <v>0.09</v>
      </c>
      <c r="Y48" s="3" t="n">
        <f aca="false">O48*V48</f>
        <v>0.06</v>
      </c>
      <c r="Z48" s="3" t="n">
        <f aca="false">H48*O48*V48</f>
        <v>0.018</v>
      </c>
    </row>
    <row r="49" customFormat="false" ht="13.8" hidden="false" customHeight="false" outlineLevel="0" collapsed="false">
      <c r="A49" s="1" t="n">
        <v>44166</v>
      </c>
      <c r="B49" s="2" t="n">
        <v>1600</v>
      </c>
      <c r="C49" s="2" t="n">
        <v>1</v>
      </c>
      <c r="D49" s="2" t="n">
        <v>1</v>
      </c>
      <c r="E49" s="2" t="n">
        <v>0</v>
      </c>
      <c r="F49" s="2" t="n">
        <v>0</v>
      </c>
      <c r="G49" s="2" t="n">
        <v>0</v>
      </c>
      <c r="H49" s="2" t="n">
        <f aca="false">0.35 * E49 + 0.2 * C49 + 0.2 * G49 + 0.15 * F49 + 0.1 * D49</f>
        <v>0.3</v>
      </c>
      <c r="I49" s="2" t="n">
        <v>0</v>
      </c>
      <c r="J49" s="2" t="n">
        <v>1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f aca="false">0.3*L49 + 0.25 * M49+0.2 * J49 + 0.15*N49 + 0.1 * I49</f>
        <v>0.2</v>
      </c>
      <c r="P49" s="2" t="n">
        <v>0</v>
      </c>
      <c r="Q49" s="2" t="n">
        <v>1</v>
      </c>
      <c r="R49" s="2" t="n">
        <v>1</v>
      </c>
      <c r="S49" s="2" t="n">
        <v>0</v>
      </c>
      <c r="T49" s="2" t="n">
        <v>0</v>
      </c>
      <c r="U49" s="2" t="n">
        <v>0</v>
      </c>
      <c r="V49" s="3" t="n">
        <f aca="false">0.3 * Q49 + 0.25 * S49 + 0.2 * T49 + 0.15 * U49 + 0.1 * P49</f>
        <v>0.3</v>
      </c>
      <c r="W49" s="3" t="n">
        <f aca="false">H49*O49</f>
        <v>0.06</v>
      </c>
      <c r="X49" s="3" t="n">
        <f aca="false">H49*V49</f>
        <v>0.09</v>
      </c>
      <c r="Y49" s="3" t="n">
        <f aca="false">O49*V49</f>
        <v>0.06</v>
      </c>
      <c r="Z49" s="3" t="n">
        <f aca="false">H49*O49*V49</f>
        <v>0.018</v>
      </c>
    </row>
    <row r="50" customFormat="false" ht="13.8" hidden="false" customHeight="false" outlineLevel="0" collapsed="false">
      <c r="A50" s="1" t="n">
        <v>44197</v>
      </c>
      <c r="B50" s="2" t="n">
        <v>2126.19047619047</v>
      </c>
      <c r="C50" s="2" t="n">
        <v>0</v>
      </c>
      <c r="D50" s="2" t="n">
        <v>1</v>
      </c>
      <c r="E50" s="2" t="n">
        <v>0</v>
      </c>
      <c r="F50" s="2" t="n">
        <v>0</v>
      </c>
      <c r="G50" s="2" t="n">
        <v>1</v>
      </c>
      <c r="H50" s="2" t="n">
        <f aca="false">0.35 * E50 + 0.2 * C50 + 0.2 * G50 + 0.15 * F50 + 0.1 * D50</f>
        <v>0.3</v>
      </c>
      <c r="I50" s="2" t="n">
        <v>0</v>
      </c>
      <c r="J50" s="2" t="n">
        <v>0</v>
      </c>
      <c r="K50" s="2" t="n">
        <v>1</v>
      </c>
      <c r="L50" s="2" t="n">
        <v>0</v>
      </c>
      <c r="M50" s="2" t="n">
        <v>0</v>
      </c>
      <c r="N50" s="2" t="n">
        <v>1</v>
      </c>
      <c r="O50" s="2" t="n">
        <f aca="false">0.3*L50 + 0.25 * M50+0.2 * J50 + 0.15*N50 + 0.1 * I50</f>
        <v>0.15</v>
      </c>
      <c r="P50" s="2" t="n">
        <v>0</v>
      </c>
      <c r="Q50" s="2" t="n">
        <v>1</v>
      </c>
      <c r="R50" s="2" t="n">
        <v>1</v>
      </c>
      <c r="S50" s="2" t="n">
        <v>1</v>
      </c>
      <c r="T50" s="2" t="n">
        <v>0</v>
      </c>
      <c r="U50" s="2" t="n">
        <v>0</v>
      </c>
      <c r="V50" s="3" t="n">
        <f aca="false">0.3 * Q50 + 0.25 * S50 + 0.2 * T50 + 0.15 * U50 + 0.1 * P50</f>
        <v>0.55</v>
      </c>
      <c r="W50" s="3" t="n">
        <f aca="false">H50*O50</f>
        <v>0.045</v>
      </c>
      <c r="X50" s="3" t="n">
        <f aca="false">H50*V50</f>
        <v>0.165</v>
      </c>
      <c r="Y50" s="3" t="n">
        <f aca="false">O50*V50</f>
        <v>0.0825</v>
      </c>
      <c r="Z50" s="3" t="n">
        <f aca="false">H50*O50*V50</f>
        <v>0.02475</v>
      </c>
    </row>
    <row r="51" customFormat="false" ht="13.8" hidden="false" customHeight="false" outlineLevel="0" collapsed="false">
      <c r="A51" s="1" t="n">
        <v>44228</v>
      </c>
      <c r="B51" s="2" t="n">
        <v>2635</v>
      </c>
      <c r="C51" s="2" t="n">
        <v>0</v>
      </c>
      <c r="D51" s="2" t="n">
        <v>1</v>
      </c>
      <c r="E51" s="2" t="n">
        <v>0</v>
      </c>
      <c r="F51" s="2" t="n">
        <v>0</v>
      </c>
      <c r="G51" s="2" t="n">
        <v>1</v>
      </c>
      <c r="H51" s="2" t="n">
        <f aca="false">0.35 * E51 + 0.2 * C51 + 0.2 * G51 + 0.15 * F51 + 0.1 * D51</f>
        <v>0.3</v>
      </c>
      <c r="I51" s="2" t="n">
        <v>0</v>
      </c>
      <c r="J51" s="2" t="n">
        <v>0</v>
      </c>
      <c r="K51" s="2" t="n">
        <v>1</v>
      </c>
      <c r="L51" s="2" t="n">
        <v>0</v>
      </c>
      <c r="M51" s="2" t="n">
        <v>0</v>
      </c>
      <c r="N51" s="2" t="n">
        <v>1</v>
      </c>
      <c r="O51" s="2" t="n">
        <f aca="false">0.3*L51 + 0.25 * M51+0.2 * J51 + 0.15*N51 + 0.1 * I51</f>
        <v>0.15</v>
      </c>
      <c r="P51" s="2" t="n">
        <v>0</v>
      </c>
      <c r="Q51" s="2" t="n">
        <v>1</v>
      </c>
      <c r="R51" s="2" t="n">
        <v>1</v>
      </c>
      <c r="S51" s="2" t="n">
        <v>1</v>
      </c>
      <c r="T51" s="2" t="n">
        <v>0</v>
      </c>
      <c r="U51" s="2" t="n">
        <v>0</v>
      </c>
      <c r="V51" s="3" t="n">
        <f aca="false">0.3 * Q51 + 0.25 * S51 + 0.2 * T51 + 0.15 * U51 + 0.1 * P51</f>
        <v>0.55</v>
      </c>
      <c r="W51" s="3" t="n">
        <f aca="false">H51*O51</f>
        <v>0.045</v>
      </c>
      <c r="X51" s="3" t="n">
        <f aca="false">H51*V51</f>
        <v>0.165</v>
      </c>
      <c r="Y51" s="3" t="n">
        <f aca="false">O51*V51</f>
        <v>0.0825</v>
      </c>
      <c r="Z51" s="3" t="n">
        <f aca="false">H51*O51*V51</f>
        <v>0.02475</v>
      </c>
    </row>
    <row r="52" customFormat="false" ht="13.8" hidden="false" customHeight="false" outlineLevel="0" collapsed="false">
      <c r="A52" s="1" t="n">
        <v>44256</v>
      </c>
      <c r="B52" s="2" t="n">
        <v>2811.95652173913</v>
      </c>
      <c r="C52" s="2" t="n">
        <v>0</v>
      </c>
      <c r="D52" s="2" t="n">
        <v>1</v>
      </c>
      <c r="E52" s="2" t="n">
        <v>0</v>
      </c>
      <c r="F52" s="2" t="n">
        <v>0</v>
      </c>
      <c r="G52" s="2" t="n">
        <v>1</v>
      </c>
      <c r="H52" s="2" t="n">
        <f aca="false">0.35 * E52 + 0.2 * C52 + 0.2 * G52 + 0.15 * F52 + 0.1 * D52</f>
        <v>0.3</v>
      </c>
      <c r="I52" s="2" t="n">
        <v>0</v>
      </c>
      <c r="J52" s="2" t="n">
        <v>0</v>
      </c>
      <c r="K52" s="2" t="n">
        <v>1</v>
      </c>
      <c r="L52" s="2" t="n">
        <v>0</v>
      </c>
      <c r="M52" s="2" t="n">
        <v>0</v>
      </c>
      <c r="N52" s="2" t="n">
        <v>1</v>
      </c>
      <c r="O52" s="2" t="n">
        <f aca="false">0.3*L52 + 0.25 * M52+0.2 * J52 + 0.15*N52 + 0.1 * I52</f>
        <v>0.15</v>
      </c>
      <c r="P52" s="2" t="n">
        <v>0</v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3" t="n">
        <f aca="false">0.3 * Q52 + 0.25 * S52 + 0.2 * T52 + 0.15 * U52 + 0.1 * P52</f>
        <v>0.55</v>
      </c>
      <c r="W52" s="3" t="n">
        <f aca="false">H52*O52</f>
        <v>0.045</v>
      </c>
      <c r="X52" s="3" t="n">
        <f aca="false">H52*V52</f>
        <v>0.165</v>
      </c>
      <c r="Y52" s="3" t="n">
        <f aca="false">O52*V52</f>
        <v>0.0825</v>
      </c>
      <c r="Z52" s="3" t="n">
        <f aca="false">H52*O52*V52</f>
        <v>0.02475</v>
      </c>
    </row>
    <row r="53" customFormat="false" ht="13.8" hidden="false" customHeight="false" outlineLevel="0" collapsed="false">
      <c r="A53" s="1" t="n">
        <v>44287</v>
      </c>
      <c r="B53" s="2" t="n">
        <v>2862.5</v>
      </c>
      <c r="C53" s="2" t="n">
        <v>0</v>
      </c>
      <c r="D53" s="2" t="n">
        <v>1</v>
      </c>
      <c r="E53" s="2" t="n">
        <v>0</v>
      </c>
      <c r="F53" s="2" t="n">
        <v>0</v>
      </c>
      <c r="G53" s="2" t="n">
        <v>1</v>
      </c>
      <c r="H53" s="2" t="n">
        <f aca="false">0.35 * E53 + 0.2 * C53 + 0.2 * G53 + 0.15 * F53 + 0.1 * D53</f>
        <v>0.3</v>
      </c>
      <c r="I53" s="2" t="n">
        <v>0</v>
      </c>
      <c r="J53" s="2" t="n">
        <v>0</v>
      </c>
      <c r="K53" s="2" t="n">
        <v>1</v>
      </c>
      <c r="L53" s="2" t="n">
        <v>0</v>
      </c>
      <c r="M53" s="2" t="n">
        <v>0</v>
      </c>
      <c r="N53" s="2" t="n">
        <v>1</v>
      </c>
      <c r="O53" s="2" t="n">
        <f aca="false">0.3*L53 + 0.25 * M53+0.2 * J53 + 0.15*N53 + 0.1 * I53</f>
        <v>0.15</v>
      </c>
      <c r="P53" s="2" t="n">
        <v>0</v>
      </c>
      <c r="Q53" s="2" t="n">
        <v>1</v>
      </c>
      <c r="R53" s="2" t="n">
        <v>1</v>
      </c>
      <c r="S53" s="2" t="n">
        <v>1</v>
      </c>
      <c r="T53" s="2" t="n">
        <v>0</v>
      </c>
      <c r="U53" s="2" t="n">
        <v>0</v>
      </c>
      <c r="V53" s="3" t="n">
        <f aca="false">0.3 * Q53 + 0.25 * S53 + 0.2 * T53 + 0.15 * U53 + 0.1 * P53</f>
        <v>0.55</v>
      </c>
      <c r="W53" s="3" t="n">
        <f aca="false">H53*O53</f>
        <v>0.045</v>
      </c>
      <c r="X53" s="3" t="n">
        <f aca="false">H53*V53</f>
        <v>0.165</v>
      </c>
      <c r="Y53" s="3" t="n">
        <f aca="false">O53*V53</f>
        <v>0.0825</v>
      </c>
      <c r="Z53" s="3" t="n">
        <f aca="false">H53*O53*V53</f>
        <v>0.02475</v>
      </c>
    </row>
    <row r="54" customFormat="false" ht="13.8" hidden="false" customHeight="false" outlineLevel="0" collapsed="false">
      <c r="A54" s="1" t="n">
        <v>44317</v>
      </c>
      <c r="B54" s="2" t="n">
        <v>2985.71428571428</v>
      </c>
      <c r="C54" s="2" t="n">
        <v>0</v>
      </c>
      <c r="D54" s="2" t="n">
        <v>1</v>
      </c>
      <c r="E54" s="2" t="n">
        <v>0</v>
      </c>
      <c r="F54" s="2" t="n">
        <v>0</v>
      </c>
      <c r="G54" s="2" t="n">
        <v>1</v>
      </c>
      <c r="H54" s="2" t="n">
        <f aca="false">0.35 * E54 + 0.2 * C54 + 0.2 * G54 + 0.15 * F54 + 0.1 * D54</f>
        <v>0.3</v>
      </c>
      <c r="I54" s="2" t="n">
        <v>0</v>
      </c>
      <c r="J54" s="2" t="n">
        <v>0</v>
      </c>
      <c r="K54" s="2" t="n">
        <v>1</v>
      </c>
      <c r="L54" s="2" t="n">
        <v>0</v>
      </c>
      <c r="M54" s="2" t="n">
        <v>0</v>
      </c>
      <c r="N54" s="2" t="n">
        <v>1</v>
      </c>
      <c r="O54" s="2" t="n">
        <f aca="false">0.3*L54 + 0.25 * M54+0.2 * J54 + 0.15*N54 + 0.1 * I54</f>
        <v>0.15</v>
      </c>
      <c r="P54" s="2" t="n">
        <v>0</v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3" t="n">
        <f aca="false">0.3 * Q54 + 0.25 * S54 + 0.2 * T54 + 0.15 * U54 + 0.1 * P54</f>
        <v>0.55</v>
      </c>
      <c r="W54" s="3" t="n">
        <f aca="false">H54*O54</f>
        <v>0.045</v>
      </c>
      <c r="X54" s="3" t="n">
        <f aca="false">H54*V54</f>
        <v>0.165</v>
      </c>
      <c r="Y54" s="3" t="n">
        <f aca="false">O54*V54</f>
        <v>0.0825</v>
      </c>
      <c r="Z54" s="3" t="n">
        <f aca="false">H54*O54*V54</f>
        <v>0.02475</v>
      </c>
    </row>
    <row r="55" customFormat="false" ht="13.8" hidden="false" customHeight="false" outlineLevel="0" collapsed="false">
      <c r="A55" s="1" t="n">
        <v>44348</v>
      </c>
      <c r="B55" s="2" t="n">
        <v>3336.36363636363</v>
      </c>
      <c r="C55" s="2" t="n">
        <v>0</v>
      </c>
      <c r="D55" s="2" t="n">
        <v>1</v>
      </c>
      <c r="E55" s="2" t="n">
        <v>0</v>
      </c>
      <c r="F55" s="2" t="n">
        <v>0</v>
      </c>
      <c r="G55" s="2" t="n">
        <v>1</v>
      </c>
      <c r="H55" s="2" t="n">
        <f aca="false">0.35 * E55 + 0.2 * C55 + 0.2 * G55 + 0.15 * F55 + 0.1 * D55</f>
        <v>0.3</v>
      </c>
      <c r="I55" s="2" t="n">
        <v>0</v>
      </c>
      <c r="J55" s="2" t="n">
        <v>0</v>
      </c>
      <c r="K55" s="2" t="n">
        <v>1</v>
      </c>
      <c r="L55" s="2" t="n">
        <v>0</v>
      </c>
      <c r="M55" s="2" t="n">
        <v>0</v>
      </c>
      <c r="N55" s="2" t="n">
        <v>1</v>
      </c>
      <c r="O55" s="2" t="n">
        <f aca="false">0.3*L55 + 0.25 * M55+0.2 * J55 + 0.15*N55 + 0.1 * I55</f>
        <v>0.15</v>
      </c>
      <c r="P55" s="2" t="n">
        <v>0</v>
      </c>
      <c r="Q55" s="2" t="n">
        <v>1</v>
      </c>
      <c r="R55" s="2" t="n">
        <v>1</v>
      </c>
      <c r="S55" s="2" t="n">
        <v>1</v>
      </c>
      <c r="T55" s="2" t="n">
        <v>0</v>
      </c>
      <c r="U55" s="2" t="n">
        <v>0</v>
      </c>
      <c r="V55" s="3" t="n">
        <f aca="false">0.3 * Q55 + 0.25 * S55 + 0.2 * T55 + 0.15 * U55 + 0.1 * P55</f>
        <v>0.55</v>
      </c>
      <c r="W55" s="3" t="n">
        <f aca="false">H55*O55</f>
        <v>0.045</v>
      </c>
      <c r="X55" s="3" t="n">
        <f aca="false">H55*V55</f>
        <v>0.165</v>
      </c>
      <c r="Y55" s="3" t="n">
        <f aca="false">O55*V55</f>
        <v>0.0825</v>
      </c>
      <c r="Z55" s="3" t="n">
        <f aca="false">H55*O55*V55</f>
        <v>0.02475</v>
      </c>
    </row>
    <row r="56" customFormat="false" ht="13.8" hidden="false" customHeight="false" outlineLevel="0" collapsed="false">
      <c r="A56" s="1" t="n">
        <v>44378</v>
      </c>
      <c r="B56" s="2" t="n">
        <v>3537.5</v>
      </c>
      <c r="C56" s="2" t="n">
        <v>0</v>
      </c>
      <c r="D56" s="2" t="n">
        <v>1</v>
      </c>
      <c r="E56" s="2" t="n">
        <v>0</v>
      </c>
      <c r="F56" s="2" t="n">
        <v>0</v>
      </c>
      <c r="G56" s="2" t="n">
        <v>1</v>
      </c>
      <c r="H56" s="2" t="n">
        <f aca="false">0.35 * E56 + 0.2 * C56 + 0.2 * G56 + 0.15 * F56 + 0.1 * D56</f>
        <v>0.3</v>
      </c>
      <c r="I56" s="2" t="n">
        <v>0</v>
      </c>
      <c r="J56" s="2" t="n">
        <v>0</v>
      </c>
      <c r="K56" s="2" t="n">
        <v>1</v>
      </c>
      <c r="L56" s="2" t="n">
        <v>0</v>
      </c>
      <c r="M56" s="2" t="n">
        <v>0</v>
      </c>
      <c r="N56" s="2" t="n">
        <v>1</v>
      </c>
      <c r="O56" s="2" t="n">
        <f aca="false">0.3*L56 + 0.25 * M56+0.2 * J56 + 0.15*N56 + 0.1 * I56</f>
        <v>0.15</v>
      </c>
      <c r="P56" s="2" t="n">
        <v>0</v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3" t="n">
        <f aca="false">0.3 * Q56 + 0.25 * S56 + 0.2 * T56 + 0.15 * U56 + 0.1 * P56</f>
        <v>0.55</v>
      </c>
      <c r="W56" s="3" t="n">
        <f aca="false">H56*O56</f>
        <v>0.045</v>
      </c>
      <c r="X56" s="3" t="n">
        <f aca="false">H56*V56</f>
        <v>0.165</v>
      </c>
      <c r="Y56" s="3" t="n">
        <f aca="false">O56*V56</f>
        <v>0.0825</v>
      </c>
      <c r="Z56" s="3" t="n">
        <f aca="false">H56*O56*V56</f>
        <v>0.02475</v>
      </c>
    </row>
    <row r="57" customFormat="false" ht="13.8" hidden="false" customHeight="false" outlineLevel="0" collapsed="false">
      <c r="A57" s="1" t="n">
        <v>44409</v>
      </c>
      <c r="B57" s="2" t="n">
        <v>3885</v>
      </c>
      <c r="C57" s="2" t="n">
        <v>0</v>
      </c>
      <c r="D57" s="2" t="n">
        <v>1</v>
      </c>
      <c r="E57" s="2" t="n">
        <v>0</v>
      </c>
      <c r="F57" s="2" t="n">
        <v>0</v>
      </c>
      <c r="G57" s="2" t="n">
        <v>1</v>
      </c>
      <c r="H57" s="2" t="n">
        <f aca="false">0.35 * E57 + 0.2 * C57 + 0.2 * G57 + 0.15 * F57 + 0.1 * D57</f>
        <v>0.3</v>
      </c>
      <c r="I57" s="2" t="n">
        <v>0</v>
      </c>
      <c r="J57" s="2" t="n">
        <v>0</v>
      </c>
      <c r="K57" s="2" t="n">
        <v>1</v>
      </c>
      <c r="L57" s="2" t="n">
        <v>0</v>
      </c>
      <c r="M57" s="2" t="n">
        <v>0</v>
      </c>
      <c r="N57" s="2" t="n">
        <v>1</v>
      </c>
      <c r="O57" s="2" t="n">
        <f aca="false">0.3*L57 + 0.25 * M57+0.2 * J57 + 0.15*N57 + 0.1 * I57</f>
        <v>0.15</v>
      </c>
      <c r="P57" s="2" t="n">
        <v>0</v>
      </c>
      <c r="Q57" s="2" t="n">
        <v>1</v>
      </c>
      <c r="R57" s="2" t="n">
        <v>1</v>
      </c>
      <c r="S57" s="2" t="n">
        <v>1</v>
      </c>
      <c r="T57" s="2" t="n">
        <v>0</v>
      </c>
      <c r="U57" s="2" t="n">
        <v>0</v>
      </c>
      <c r="V57" s="3" t="n">
        <f aca="false">0.3 * Q57 + 0.25 * S57 + 0.2 * T57 + 0.15 * U57 + 0.1 * P57</f>
        <v>0.55</v>
      </c>
      <c r="W57" s="3" t="n">
        <f aca="false">H57*O57</f>
        <v>0.045</v>
      </c>
      <c r="X57" s="3" t="n">
        <f aca="false">H57*V57</f>
        <v>0.165</v>
      </c>
      <c r="Y57" s="3" t="n">
        <f aca="false">O57*V57</f>
        <v>0.0825</v>
      </c>
      <c r="Z57" s="3" t="n">
        <f aca="false">H57*O57*V57</f>
        <v>0.02475</v>
      </c>
    </row>
    <row r="58" customFormat="false" ht="13.8" hidden="false" customHeight="false" outlineLevel="0" collapsed="false">
      <c r="A58" s="1" t="n">
        <v>44440</v>
      </c>
      <c r="B58" s="2" t="n">
        <v>4975.22727272727</v>
      </c>
      <c r="C58" s="2" t="n">
        <v>0</v>
      </c>
      <c r="D58" s="2" t="n">
        <v>1</v>
      </c>
      <c r="E58" s="2" t="n">
        <v>0</v>
      </c>
      <c r="F58" s="2" t="n">
        <v>0</v>
      </c>
      <c r="G58" s="2" t="n">
        <v>1</v>
      </c>
      <c r="H58" s="2" t="n">
        <f aca="false">0.35 * E58 + 0.2 * C58 + 0.2 * G58 + 0.15 * F58 + 0.1 * D58</f>
        <v>0.3</v>
      </c>
      <c r="I58" s="2" t="n">
        <v>0</v>
      </c>
      <c r="J58" s="2" t="n">
        <v>0</v>
      </c>
      <c r="K58" s="2" t="n">
        <v>1</v>
      </c>
      <c r="L58" s="2" t="n">
        <v>0</v>
      </c>
      <c r="M58" s="2" t="n">
        <v>0</v>
      </c>
      <c r="N58" s="2" t="n">
        <v>1</v>
      </c>
      <c r="O58" s="2" t="n">
        <f aca="false">0.3*L58 + 0.25 * M58+0.2 * J58 + 0.15*N58 + 0.1 * I58</f>
        <v>0.15</v>
      </c>
      <c r="P58" s="2" t="n">
        <v>0</v>
      </c>
      <c r="Q58" s="2" t="n">
        <v>1</v>
      </c>
      <c r="R58" s="2" t="n">
        <v>1</v>
      </c>
      <c r="S58" s="2" t="n">
        <v>1</v>
      </c>
      <c r="T58" s="2" t="n">
        <v>0</v>
      </c>
      <c r="U58" s="2" t="n">
        <v>0</v>
      </c>
      <c r="V58" s="3" t="n">
        <f aca="false">0.3 * Q58 + 0.25 * S58 + 0.2 * T58 + 0.15 * U58 + 0.1 * P58</f>
        <v>0.55</v>
      </c>
      <c r="W58" s="3" t="n">
        <f aca="false">H58*O58</f>
        <v>0.045</v>
      </c>
      <c r="X58" s="3" t="n">
        <f aca="false">H58*V58</f>
        <v>0.165</v>
      </c>
      <c r="Y58" s="3" t="n">
        <f aca="false">O58*V58</f>
        <v>0.0825</v>
      </c>
      <c r="Z58" s="3" t="n">
        <f aca="false">H58*O58*V58</f>
        <v>0.02475</v>
      </c>
    </row>
    <row r="59" customFormat="false" ht="13.8" hidden="false" customHeight="false" outlineLevel="0" collapsed="false">
      <c r="A59" s="1" t="n">
        <v>44470</v>
      </c>
      <c r="B59" s="2" t="n">
        <v>5828.57142857142</v>
      </c>
      <c r="C59" s="2" t="n">
        <v>0</v>
      </c>
      <c r="D59" s="2" t="n">
        <v>1</v>
      </c>
      <c r="E59" s="2" t="n">
        <v>0</v>
      </c>
      <c r="F59" s="2" t="n">
        <v>0</v>
      </c>
      <c r="G59" s="2" t="n">
        <v>1</v>
      </c>
      <c r="H59" s="2" t="n">
        <f aca="false">0.35 * E59 + 0.2 * C59 + 0.2 * G59 + 0.15 * F59 + 0.1 * D59</f>
        <v>0.3</v>
      </c>
      <c r="I59" s="2" t="n">
        <v>0</v>
      </c>
      <c r="J59" s="2" t="n">
        <v>0</v>
      </c>
      <c r="K59" s="2" t="n">
        <v>1</v>
      </c>
      <c r="L59" s="2" t="n">
        <v>0</v>
      </c>
      <c r="M59" s="2" t="n">
        <v>0</v>
      </c>
      <c r="N59" s="2" t="n">
        <v>1</v>
      </c>
      <c r="O59" s="2" t="n">
        <f aca="false">0.3*L59 + 0.25 * M59+0.2 * J59 + 0.15*N59 + 0.1 * I59</f>
        <v>0.15</v>
      </c>
      <c r="P59" s="2" t="n">
        <v>0</v>
      </c>
      <c r="Q59" s="2" t="n">
        <v>1</v>
      </c>
      <c r="R59" s="2" t="n">
        <v>1</v>
      </c>
      <c r="S59" s="2" t="n">
        <v>1</v>
      </c>
      <c r="T59" s="2" t="n">
        <v>0</v>
      </c>
      <c r="U59" s="2" t="n">
        <v>0</v>
      </c>
      <c r="V59" s="3" t="n">
        <f aca="false">0.3 * Q59 + 0.25 * S59 + 0.2 * T59 + 0.15 * U59 + 0.1 * P59</f>
        <v>0.55</v>
      </c>
      <c r="W59" s="3" t="n">
        <f aca="false">H59*O59</f>
        <v>0.045</v>
      </c>
      <c r="X59" s="3" t="n">
        <f aca="false">H59*V59</f>
        <v>0.165</v>
      </c>
      <c r="Y59" s="3" t="n">
        <f aca="false">O59*V59</f>
        <v>0.0825</v>
      </c>
      <c r="Z59" s="3" t="n">
        <f aca="false">H59*O59*V59</f>
        <v>0.02475</v>
      </c>
    </row>
    <row r="60" customFormat="false" ht="13.8" hidden="false" customHeight="false" outlineLevel="0" collapsed="false">
      <c r="A60" s="1" t="n">
        <v>44501</v>
      </c>
      <c r="B60" s="2" t="n">
        <v>6209.0909090909</v>
      </c>
      <c r="C60" s="2" t="n">
        <v>0</v>
      </c>
      <c r="D60" s="2" t="n">
        <v>1</v>
      </c>
      <c r="E60" s="2" t="n">
        <v>0</v>
      </c>
      <c r="F60" s="2" t="n">
        <v>0</v>
      </c>
      <c r="G60" s="2" t="n">
        <v>1</v>
      </c>
      <c r="H60" s="2" t="n">
        <f aca="false">0.35 * E60 + 0.2 * C60 + 0.2 * G60 + 0.15 * F60 + 0.1 * D60</f>
        <v>0.3</v>
      </c>
      <c r="I60" s="2" t="n">
        <v>0</v>
      </c>
      <c r="J60" s="2" t="n">
        <v>0</v>
      </c>
      <c r="K60" s="2" t="n">
        <v>1</v>
      </c>
      <c r="L60" s="2" t="n">
        <v>0</v>
      </c>
      <c r="M60" s="2" t="n">
        <v>0</v>
      </c>
      <c r="N60" s="2" t="n">
        <v>1</v>
      </c>
      <c r="O60" s="2" t="n">
        <f aca="false">0.3*L60 + 0.25 * M60+0.2 * J60 + 0.15*N60 + 0.1 * I60</f>
        <v>0.15</v>
      </c>
      <c r="P60" s="2" t="n">
        <v>0</v>
      </c>
      <c r="Q60" s="2" t="n">
        <v>1</v>
      </c>
      <c r="R60" s="2" t="n">
        <v>1</v>
      </c>
      <c r="S60" s="2" t="n">
        <v>1</v>
      </c>
      <c r="T60" s="2" t="n">
        <v>0</v>
      </c>
      <c r="U60" s="2" t="n">
        <v>0</v>
      </c>
      <c r="V60" s="3" t="n">
        <f aca="false">0.3 * Q60 + 0.25 * S60 + 0.2 * T60 + 0.15 * U60 + 0.1 * P60</f>
        <v>0.55</v>
      </c>
      <c r="W60" s="3" t="n">
        <f aca="false">H60*O60</f>
        <v>0.045</v>
      </c>
      <c r="X60" s="3" t="n">
        <f aca="false">H60*V60</f>
        <v>0.165</v>
      </c>
      <c r="Y60" s="3" t="n">
        <f aca="false">O60*V60</f>
        <v>0.0825</v>
      </c>
      <c r="Z60" s="3" t="n">
        <f aca="false">H60*O60*V60</f>
        <v>0.02475</v>
      </c>
    </row>
    <row r="61" customFormat="false" ht="13.8" hidden="false" customHeight="false" outlineLevel="0" collapsed="false">
      <c r="A61" s="1" t="n">
        <v>44531</v>
      </c>
      <c r="B61" s="2" t="n">
        <v>7450</v>
      </c>
      <c r="C61" s="2" t="n">
        <v>0</v>
      </c>
      <c r="D61" s="2" t="n">
        <v>1</v>
      </c>
      <c r="E61" s="2" t="n">
        <v>0</v>
      </c>
      <c r="F61" s="2" t="n">
        <v>0</v>
      </c>
      <c r="G61" s="2" t="n">
        <v>1</v>
      </c>
      <c r="H61" s="2" t="n">
        <f aca="false">0.35 * E61 + 0.2 * C61 + 0.2 * G61 + 0.15 * F61 + 0.1 * D61</f>
        <v>0.3</v>
      </c>
      <c r="I61" s="2" t="n">
        <v>0</v>
      </c>
      <c r="J61" s="2" t="n">
        <v>0</v>
      </c>
      <c r="K61" s="2" t="n">
        <v>1</v>
      </c>
      <c r="L61" s="2" t="n">
        <v>0</v>
      </c>
      <c r="M61" s="2" t="n">
        <v>0</v>
      </c>
      <c r="N61" s="2" t="n">
        <v>1</v>
      </c>
      <c r="O61" s="2" t="n">
        <f aca="false">0.3*L61 + 0.25 * M61+0.2 * J61 + 0.15*N61 + 0.1 * I61</f>
        <v>0.15</v>
      </c>
      <c r="P61" s="2" t="n">
        <v>0</v>
      </c>
      <c r="Q61" s="2" t="n">
        <v>1</v>
      </c>
      <c r="R61" s="2" t="n">
        <v>1</v>
      </c>
      <c r="S61" s="2" t="n">
        <v>1</v>
      </c>
      <c r="T61" s="2" t="n">
        <v>0</v>
      </c>
      <c r="U61" s="2" t="n">
        <v>0</v>
      </c>
      <c r="V61" s="3" t="n">
        <f aca="false">0.3 * Q61 + 0.25 * S61 + 0.2 * T61 + 0.15 * U61 + 0.1 * P61</f>
        <v>0.55</v>
      </c>
      <c r="W61" s="3" t="n">
        <f aca="false">H61*O61</f>
        <v>0.045</v>
      </c>
      <c r="X61" s="3" t="n">
        <f aca="false">H61*V61</f>
        <v>0.165</v>
      </c>
      <c r="Y61" s="3" t="n">
        <f aca="false">O61*V61</f>
        <v>0.0825</v>
      </c>
      <c r="Z61" s="3" t="n">
        <f aca="false">H61*O61*V61</f>
        <v>0.02475</v>
      </c>
    </row>
    <row r="62" customFormat="false" ht="13.8" hidden="false" customHeight="false" outlineLevel="0" collapsed="false">
      <c r="A62" s="1" t="n">
        <v>44562</v>
      </c>
      <c r="B62" s="2" t="n">
        <v>7507.14285714285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1</v>
      </c>
      <c r="H62" s="2" t="n">
        <f aca="false">0.35 * E62 + 0.2 * C62 + 0.2 * G62 + 0.15 * F62 + 0.1 * D62</f>
        <v>0.2</v>
      </c>
      <c r="I62" s="2" t="n">
        <v>0</v>
      </c>
      <c r="J62" s="2" t="n">
        <v>0</v>
      </c>
      <c r="K62" s="2" t="n">
        <v>1</v>
      </c>
      <c r="L62" s="2" t="n">
        <v>0</v>
      </c>
      <c r="M62" s="2" t="n">
        <v>0</v>
      </c>
      <c r="N62" s="2" t="n">
        <v>1</v>
      </c>
      <c r="O62" s="2" t="n">
        <f aca="false">0.3*L62 + 0.25 * M62+0.2 * J62 + 0.15*N62 + 0.1 * I62</f>
        <v>0.15</v>
      </c>
      <c r="P62" s="2" t="n">
        <v>0</v>
      </c>
      <c r="Q62" s="2" t="n">
        <v>0</v>
      </c>
      <c r="R62" s="2" t="n">
        <v>0</v>
      </c>
      <c r="S62" s="2" t="n">
        <v>1</v>
      </c>
      <c r="T62" s="2" t="n">
        <v>1</v>
      </c>
      <c r="U62" s="2" t="n">
        <v>1</v>
      </c>
      <c r="V62" s="3" t="n">
        <f aca="false">0.3 * Q62 + 0.25 * S62 + 0.2 * T62 + 0.15 * U62 + 0.1 * P62</f>
        <v>0.6</v>
      </c>
      <c r="W62" s="3" t="n">
        <f aca="false">H62*O62</f>
        <v>0.03</v>
      </c>
      <c r="X62" s="3" t="n">
        <f aca="false">H62*V62</f>
        <v>0.12</v>
      </c>
      <c r="Y62" s="3" t="n">
        <f aca="false">O62*V62</f>
        <v>0.09</v>
      </c>
      <c r="Z62" s="3" t="n">
        <f aca="false">H62*O62*V62</f>
        <v>0.018</v>
      </c>
    </row>
    <row r="63" customFormat="false" ht="13.8" hidden="false" customHeight="false" outlineLevel="0" collapsed="false">
      <c r="A63" s="1" t="n">
        <v>44593</v>
      </c>
      <c r="B63" s="2" t="n">
        <v>7400</v>
      </c>
      <c r="C63" s="2" t="n">
        <v>0</v>
      </c>
      <c r="D63" s="2" t="n">
        <v>0</v>
      </c>
      <c r="E63" s="2" t="n">
        <v>1</v>
      </c>
      <c r="F63" s="2" t="n">
        <v>0</v>
      </c>
      <c r="G63" s="2" t="n">
        <v>1</v>
      </c>
      <c r="H63" s="2" t="n">
        <f aca="false">0.35 * E63 + 0.2 * C63 + 0.2 * G63 + 0.15 * F63 + 0.1 * D63</f>
        <v>0.55</v>
      </c>
      <c r="I63" s="2" t="n">
        <v>0</v>
      </c>
      <c r="J63" s="2" t="n">
        <v>0</v>
      </c>
      <c r="K63" s="2" t="n">
        <v>1</v>
      </c>
      <c r="L63" s="2" t="n">
        <v>0</v>
      </c>
      <c r="M63" s="2" t="n">
        <v>0</v>
      </c>
      <c r="N63" s="2" t="n">
        <v>1</v>
      </c>
      <c r="O63" s="2" t="n">
        <f aca="false">0.3*L63 + 0.25 * M63+0.2 * J63 + 0.15*N63 + 0.1 * I63</f>
        <v>0.15</v>
      </c>
      <c r="P63" s="2" t="n">
        <v>0</v>
      </c>
      <c r="Q63" s="2" t="n">
        <v>0</v>
      </c>
      <c r="R63" s="2" t="n">
        <v>0</v>
      </c>
      <c r="S63" s="2" t="n">
        <v>1</v>
      </c>
      <c r="T63" s="2" t="n">
        <v>1</v>
      </c>
      <c r="U63" s="2" t="n">
        <v>1</v>
      </c>
      <c r="V63" s="3" t="n">
        <f aca="false">0.3 * Q63 + 0.25 * S63 + 0.2 * T63 + 0.15 * U63 + 0.1 * P63</f>
        <v>0.6</v>
      </c>
      <c r="W63" s="3" t="n">
        <f aca="false">H63*O63</f>
        <v>0.0825</v>
      </c>
      <c r="X63" s="3" t="n">
        <f aca="false">H63*V63</f>
        <v>0.33</v>
      </c>
      <c r="Y63" s="3" t="n">
        <f aca="false">O63*V63</f>
        <v>0.09</v>
      </c>
      <c r="Z63" s="3" t="n">
        <f aca="false">H63*O63*V63</f>
        <v>0.0495</v>
      </c>
    </row>
    <row r="64" customFormat="false" ht="13.8" hidden="false" customHeight="false" outlineLevel="0" collapsed="false">
      <c r="A64" s="1" t="n">
        <v>44621</v>
      </c>
      <c r="B64" s="2" t="n">
        <v>6577.17391304347</v>
      </c>
      <c r="C64" s="2" t="n">
        <v>0</v>
      </c>
      <c r="D64" s="2" t="n">
        <v>0</v>
      </c>
      <c r="E64" s="2" t="n">
        <v>1</v>
      </c>
      <c r="F64" s="2" t="n">
        <v>0</v>
      </c>
      <c r="G64" s="2" t="n">
        <v>1</v>
      </c>
      <c r="H64" s="2" t="n">
        <f aca="false">0.35 * E64 + 0.2 * C64 + 0.2 * G64 + 0.15 * F64 + 0.1 * D64</f>
        <v>0.55</v>
      </c>
      <c r="I64" s="2" t="n">
        <v>0</v>
      </c>
      <c r="J64" s="2" t="n">
        <v>0</v>
      </c>
      <c r="K64" s="2" t="n">
        <v>1</v>
      </c>
      <c r="L64" s="2" t="n">
        <v>0</v>
      </c>
      <c r="M64" s="2" t="n">
        <v>0</v>
      </c>
      <c r="N64" s="2" t="n">
        <v>1</v>
      </c>
      <c r="O64" s="2" t="n">
        <f aca="false">0.3*L64 + 0.25 * M64+0.2 * J64 + 0.15*N64 + 0.1 * I64</f>
        <v>0.15</v>
      </c>
      <c r="P64" s="2" t="n">
        <v>0</v>
      </c>
      <c r="Q64" s="2" t="n">
        <v>0</v>
      </c>
      <c r="R64" s="2" t="n">
        <v>0</v>
      </c>
      <c r="S64" s="2" t="n">
        <v>1</v>
      </c>
      <c r="T64" s="2" t="n">
        <v>1</v>
      </c>
      <c r="U64" s="2" t="n">
        <v>1</v>
      </c>
      <c r="V64" s="3" t="n">
        <f aca="false">0.3 * Q64 + 0.25 * S64 + 0.2 * T64 + 0.15 * U64 + 0.1 * P64</f>
        <v>0.6</v>
      </c>
      <c r="W64" s="3" t="n">
        <f aca="false">H64*O64</f>
        <v>0.0825</v>
      </c>
      <c r="X64" s="3" t="n">
        <f aca="false">H64*V64</f>
        <v>0.33</v>
      </c>
      <c r="Y64" s="3" t="n">
        <f aca="false">O64*V64</f>
        <v>0.09</v>
      </c>
      <c r="Z64" s="3" t="n">
        <f aca="false">H64*O64*V64</f>
        <v>0.0495</v>
      </c>
    </row>
    <row r="65" customFormat="false" ht="13.8" hidden="false" customHeight="false" outlineLevel="0" collapsed="false">
      <c r="A65" s="1" t="n">
        <v>44652</v>
      </c>
      <c r="B65" s="2" t="n">
        <v>6300</v>
      </c>
      <c r="C65" s="2" t="n">
        <v>0</v>
      </c>
      <c r="D65" s="2" t="n">
        <v>0</v>
      </c>
      <c r="E65" s="2" t="n">
        <v>1</v>
      </c>
      <c r="F65" s="2" t="n">
        <v>0</v>
      </c>
      <c r="G65" s="2" t="n">
        <v>1</v>
      </c>
      <c r="H65" s="2" t="n">
        <f aca="false">0.35 * E65 + 0.2 * C65 + 0.2 * G65 + 0.15 * F65 + 0.1 * D65</f>
        <v>0.55</v>
      </c>
      <c r="I65" s="2" t="n">
        <v>0</v>
      </c>
      <c r="J65" s="2" t="n">
        <v>0</v>
      </c>
      <c r="K65" s="2" t="n">
        <v>1</v>
      </c>
      <c r="L65" s="2" t="n">
        <v>0</v>
      </c>
      <c r="M65" s="2" t="n">
        <v>0</v>
      </c>
      <c r="N65" s="2" t="n">
        <v>1</v>
      </c>
      <c r="O65" s="2" t="n">
        <f aca="false">0.3*L65 + 0.25 * M65+0.2 * J65 + 0.15*N65 + 0.1 * I65</f>
        <v>0.15</v>
      </c>
      <c r="P65" s="2" t="n">
        <v>0</v>
      </c>
      <c r="Q65" s="2" t="n">
        <v>0</v>
      </c>
      <c r="R65" s="2" t="n">
        <v>0</v>
      </c>
      <c r="S65" s="2" t="n">
        <v>1</v>
      </c>
      <c r="T65" s="2" t="n">
        <v>1</v>
      </c>
      <c r="U65" s="2" t="n">
        <v>1</v>
      </c>
      <c r="V65" s="3" t="n">
        <f aca="false">0.3 * Q65 + 0.25 * S65 + 0.2 * T65 + 0.15 * U65 + 0.1 * P65</f>
        <v>0.6</v>
      </c>
      <c r="W65" s="3" t="n">
        <f aca="false">H65*O65</f>
        <v>0.0825</v>
      </c>
      <c r="X65" s="3" t="n">
        <f aca="false">H65*V65</f>
        <v>0.33</v>
      </c>
      <c r="Y65" s="3" t="n">
        <f aca="false">O65*V65</f>
        <v>0.09</v>
      </c>
      <c r="Z65" s="3" t="n">
        <f aca="false">H65*O65*V65</f>
        <v>0.0495</v>
      </c>
    </row>
    <row r="66" customFormat="false" ht="13.8" hidden="false" customHeight="false" outlineLevel="0" collapsed="false">
      <c r="A66" s="1" t="n">
        <v>44682</v>
      </c>
      <c r="B66" s="2" t="n">
        <v>6300</v>
      </c>
      <c r="C66" s="2" t="n">
        <v>0</v>
      </c>
      <c r="D66" s="2" t="n">
        <v>0</v>
      </c>
      <c r="E66" s="2" t="n">
        <v>1</v>
      </c>
      <c r="F66" s="2" t="n">
        <v>0</v>
      </c>
      <c r="G66" s="2" t="n">
        <v>1</v>
      </c>
      <c r="H66" s="2" t="n">
        <f aca="false">0.35 * E66 + 0.2 * C66 + 0.2 * G66 + 0.15 * F66 + 0.1 * D66</f>
        <v>0.55</v>
      </c>
      <c r="I66" s="2" t="n">
        <v>0</v>
      </c>
      <c r="J66" s="2" t="n">
        <v>0</v>
      </c>
      <c r="K66" s="2" t="n">
        <v>1</v>
      </c>
      <c r="L66" s="2" t="n">
        <v>0</v>
      </c>
      <c r="M66" s="2" t="n">
        <v>0</v>
      </c>
      <c r="N66" s="2" t="n">
        <v>1</v>
      </c>
      <c r="O66" s="2" t="n">
        <f aca="false">0.3*L66 + 0.25 * M66+0.2 * J66 + 0.15*N66 + 0.1 * I66</f>
        <v>0.15</v>
      </c>
      <c r="P66" s="2" t="n">
        <v>0</v>
      </c>
      <c r="Q66" s="2" t="n">
        <v>0</v>
      </c>
      <c r="R66" s="2" t="n">
        <v>0</v>
      </c>
      <c r="S66" s="2" t="n">
        <v>1</v>
      </c>
      <c r="T66" s="2" t="n">
        <v>1</v>
      </c>
      <c r="U66" s="2" t="n">
        <v>1</v>
      </c>
      <c r="V66" s="3" t="n">
        <f aca="false">0.3 * Q66 + 0.25 * S66 + 0.2 * T66 + 0.15 * U66 + 0.1 * P66</f>
        <v>0.6</v>
      </c>
      <c r="W66" s="3" t="n">
        <f aca="false">H66*O66</f>
        <v>0.0825</v>
      </c>
      <c r="X66" s="3" t="n">
        <f aca="false">H66*V66</f>
        <v>0.33</v>
      </c>
      <c r="Y66" s="3" t="n">
        <f aca="false">O66*V66</f>
        <v>0.09</v>
      </c>
      <c r="Z66" s="3" t="n">
        <f aca="false">H66*O66*V66</f>
        <v>0.0495</v>
      </c>
    </row>
    <row r="67" customFormat="false" ht="13.8" hidden="false" customHeight="false" outlineLevel="0" collapsed="false">
      <c r="A67" s="1" t="n">
        <v>44713</v>
      </c>
      <c r="B67" s="2" t="n">
        <v>5059.0909090909</v>
      </c>
      <c r="C67" s="2" t="n">
        <v>0</v>
      </c>
      <c r="D67" s="2" t="n">
        <v>0</v>
      </c>
      <c r="E67" s="2" t="n">
        <v>1</v>
      </c>
      <c r="F67" s="2" t="n">
        <v>0</v>
      </c>
      <c r="G67" s="2" t="n">
        <v>1</v>
      </c>
      <c r="H67" s="2" t="n">
        <f aca="false">0.35 * E67 + 0.2 * C67 + 0.2 * G67 + 0.15 * F67 + 0.1 * D67</f>
        <v>0.55</v>
      </c>
      <c r="I67" s="2" t="n">
        <v>0</v>
      </c>
      <c r="J67" s="2" t="n">
        <v>0</v>
      </c>
      <c r="K67" s="2" t="n">
        <v>1</v>
      </c>
      <c r="L67" s="2" t="n">
        <v>0</v>
      </c>
      <c r="M67" s="2" t="n">
        <v>0</v>
      </c>
      <c r="N67" s="2" t="n">
        <v>1</v>
      </c>
      <c r="O67" s="2" t="n">
        <f aca="false">0.3*L67 + 0.25 * M67+0.2 * J67 + 0.15*N67 + 0.1 * I67</f>
        <v>0.15</v>
      </c>
      <c r="P67" s="2" t="n">
        <v>0</v>
      </c>
      <c r="Q67" s="2" t="n">
        <v>0</v>
      </c>
      <c r="R67" s="2" t="n">
        <v>0</v>
      </c>
      <c r="S67" s="2" t="n">
        <v>1</v>
      </c>
      <c r="T67" s="2" t="n">
        <v>1</v>
      </c>
      <c r="U67" s="2" t="n">
        <v>1</v>
      </c>
      <c r="V67" s="3" t="n">
        <f aca="false">0.3 * Q67 + 0.25 * S67 + 0.2 * T67 + 0.15 * U67 + 0.1 * P67</f>
        <v>0.6</v>
      </c>
      <c r="W67" s="3" t="n">
        <f aca="false">H67*O67</f>
        <v>0.0825</v>
      </c>
      <c r="X67" s="3" t="n">
        <f aca="false">H67*V67</f>
        <v>0.33</v>
      </c>
      <c r="Y67" s="3" t="n">
        <f aca="false">O67*V67</f>
        <v>0.09</v>
      </c>
      <c r="Z67" s="3" t="n">
        <f aca="false">H67*O67*V67</f>
        <v>0.0495</v>
      </c>
    </row>
    <row r="68" customFormat="false" ht="13.8" hidden="false" customHeight="false" outlineLevel="0" collapsed="false">
      <c r="A68" s="1" t="n">
        <v>44743</v>
      </c>
      <c r="B68" s="2" t="n">
        <v>2887.5</v>
      </c>
      <c r="C68" s="2" t="n">
        <v>0</v>
      </c>
      <c r="D68" s="2" t="n">
        <v>0</v>
      </c>
      <c r="E68" s="2" t="n">
        <v>1</v>
      </c>
      <c r="F68" s="2" t="n">
        <v>0</v>
      </c>
      <c r="G68" s="2" t="n">
        <v>1</v>
      </c>
      <c r="H68" s="2" t="n">
        <f aca="false">0.35 * E68 + 0.2 * C68 + 0.2 * G68 + 0.15 * F68 + 0.1 * D68</f>
        <v>0.55</v>
      </c>
      <c r="I68" s="2" t="n">
        <v>0</v>
      </c>
      <c r="J68" s="2" t="n">
        <v>0</v>
      </c>
      <c r="K68" s="2" t="n">
        <v>1</v>
      </c>
      <c r="L68" s="2" t="n">
        <v>0</v>
      </c>
      <c r="M68" s="2" t="n">
        <v>0</v>
      </c>
      <c r="N68" s="2" t="n">
        <v>1</v>
      </c>
      <c r="O68" s="2" t="n">
        <f aca="false">0.3*L68 + 0.25 * M68+0.2 * J68 + 0.15*N68 + 0.1 * I68</f>
        <v>0.15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1</v>
      </c>
      <c r="U68" s="2" t="n">
        <v>1</v>
      </c>
      <c r="V68" s="3" t="n">
        <f aca="false">0.3 * Q68 + 0.25 * S68 + 0.2 * T68 + 0.15 * U68 + 0.1 * P68</f>
        <v>0.35</v>
      </c>
      <c r="W68" s="3" t="n">
        <f aca="false">H68*O68</f>
        <v>0.0825</v>
      </c>
      <c r="X68" s="3" t="n">
        <f aca="false">H68*V68</f>
        <v>0.1925</v>
      </c>
      <c r="Y68" s="3" t="n">
        <f aca="false">O68*V68</f>
        <v>0.0525</v>
      </c>
      <c r="Z68" s="3" t="n">
        <f aca="false">H68*O68*V68</f>
        <v>0.028875</v>
      </c>
    </row>
    <row r="69" customFormat="false" ht="13.8" hidden="false" customHeight="false" outlineLevel="0" collapsed="false">
      <c r="A69" s="1" t="n">
        <v>44774</v>
      </c>
      <c r="B69" s="2" t="n">
        <v>2447.28260869565</v>
      </c>
      <c r="C69" s="2" t="n">
        <v>0</v>
      </c>
      <c r="D69" s="2" t="n">
        <v>0</v>
      </c>
      <c r="E69" s="2" t="n">
        <v>1</v>
      </c>
      <c r="F69" s="2" t="n">
        <v>0</v>
      </c>
      <c r="G69" s="2" t="n">
        <v>1</v>
      </c>
      <c r="H69" s="2" t="n">
        <f aca="false">0.35 * E69 + 0.2 * C69 + 0.2 * G69 + 0.15 * F69 + 0.1 * D69</f>
        <v>0.55</v>
      </c>
      <c r="I69" s="2" t="n">
        <v>0</v>
      </c>
      <c r="J69" s="2" t="n">
        <v>0</v>
      </c>
      <c r="K69" s="2" t="n">
        <v>1</v>
      </c>
      <c r="L69" s="2" t="n">
        <v>1</v>
      </c>
      <c r="M69" s="2" t="n">
        <v>0</v>
      </c>
      <c r="N69" s="2" t="n">
        <v>1</v>
      </c>
      <c r="O69" s="2" t="n">
        <f aca="false">0.3*L69 + 0.25 * M69+0.2 * J69 + 0.15*N69 + 0.1 * I69</f>
        <v>0.45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1</v>
      </c>
      <c r="U69" s="2" t="n">
        <v>1</v>
      </c>
      <c r="V69" s="3" t="n">
        <f aca="false">0.3 * Q69 + 0.25 * S69 + 0.2 * T69 + 0.15 * U69 + 0.1 * P69</f>
        <v>0.35</v>
      </c>
      <c r="W69" s="3" t="n">
        <f aca="false">H69*O69</f>
        <v>0.2475</v>
      </c>
      <c r="X69" s="3" t="n">
        <f aca="false">H69*V69</f>
        <v>0.1925</v>
      </c>
      <c r="Y69" s="3" t="n">
        <f aca="false">O69*V69</f>
        <v>0.1575</v>
      </c>
      <c r="Z69" s="3" t="n">
        <f aca="false">H69*O69*V69</f>
        <v>0.086625</v>
      </c>
    </row>
    <row r="70" customFormat="false" ht="13.8" hidden="false" customHeight="false" outlineLevel="0" collapsed="false">
      <c r="A70" s="1" t="n">
        <v>44805</v>
      </c>
      <c r="B70" s="2" t="n">
        <v>2400</v>
      </c>
      <c r="C70" s="2" t="n">
        <v>0</v>
      </c>
      <c r="D70" s="2" t="n">
        <v>0</v>
      </c>
      <c r="E70" s="2" t="n">
        <v>1</v>
      </c>
      <c r="F70" s="2" t="n">
        <v>0</v>
      </c>
      <c r="G70" s="2" t="n">
        <v>1</v>
      </c>
      <c r="H70" s="2" t="n">
        <f aca="false">0.35 * E70 + 0.2 * C70 + 0.2 * G70 + 0.15 * F70 + 0.1 * D70</f>
        <v>0.55</v>
      </c>
      <c r="I70" s="2" t="n">
        <v>0</v>
      </c>
      <c r="J70" s="2" t="n">
        <v>0</v>
      </c>
      <c r="K70" s="2" t="n">
        <v>1</v>
      </c>
      <c r="L70" s="2" t="n">
        <v>1</v>
      </c>
      <c r="M70" s="2" t="n">
        <v>0</v>
      </c>
      <c r="N70" s="2" t="n">
        <v>1</v>
      </c>
      <c r="O70" s="2" t="n">
        <f aca="false">0.3*L70 + 0.25 * M70+0.2 * J70 + 0.15*N70 + 0.1 * I70</f>
        <v>0.45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1</v>
      </c>
      <c r="U70" s="2" t="n">
        <v>1</v>
      </c>
      <c r="V70" s="3" t="n">
        <f aca="false">0.3 * Q70 + 0.25 * S70 + 0.2 * T70 + 0.15 * U70 + 0.1 * P70</f>
        <v>0.35</v>
      </c>
      <c r="W70" s="3" t="n">
        <f aca="false">H70*O70</f>
        <v>0.2475</v>
      </c>
      <c r="X70" s="3" t="n">
        <f aca="false">H70*V70</f>
        <v>0.1925</v>
      </c>
      <c r="Y70" s="3" t="n">
        <f aca="false">O70*V70</f>
        <v>0.1575</v>
      </c>
      <c r="Z70" s="3" t="n">
        <f aca="false">H70*O70*V70</f>
        <v>0.086625</v>
      </c>
    </row>
    <row r="71" customFormat="false" ht="13.8" hidden="false" customHeight="false" outlineLevel="0" collapsed="false">
      <c r="A71" s="1" t="n">
        <v>44835</v>
      </c>
      <c r="B71" s="2" t="n">
        <v>2421.42857142857</v>
      </c>
      <c r="C71" s="2" t="n">
        <v>0</v>
      </c>
      <c r="D71" s="2" t="n">
        <v>0</v>
      </c>
      <c r="E71" s="2" t="n">
        <v>1</v>
      </c>
      <c r="F71" s="2" t="n">
        <v>0</v>
      </c>
      <c r="G71" s="2" t="n">
        <v>1</v>
      </c>
      <c r="H71" s="2" t="n">
        <f aca="false">0.35 * E71 + 0.2 * C71 + 0.2 * G71 + 0.15 * F71 + 0.1 * D71</f>
        <v>0.55</v>
      </c>
      <c r="I71" s="2" t="n">
        <v>0</v>
      </c>
      <c r="J71" s="2" t="n">
        <v>0</v>
      </c>
      <c r="K71" s="2" t="n">
        <v>1</v>
      </c>
      <c r="L71" s="2" t="n">
        <v>1</v>
      </c>
      <c r="M71" s="2" t="n">
        <v>0</v>
      </c>
      <c r="N71" s="2" t="n">
        <v>1</v>
      </c>
      <c r="O71" s="2" t="n">
        <f aca="false">0.3*L71 + 0.25 * M71+0.2 * J71 + 0.15*N71 + 0.1 * I71</f>
        <v>0.45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1</v>
      </c>
      <c r="U71" s="2" t="n">
        <v>1</v>
      </c>
      <c r="V71" s="3" t="n">
        <f aca="false">0.3 * Q71 + 0.25 * S71 + 0.2 * T71 + 0.15 * U71 + 0.1 * P71</f>
        <v>0.35</v>
      </c>
      <c r="W71" s="3" t="n">
        <f aca="false">H71*O71</f>
        <v>0.2475</v>
      </c>
      <c r="X71" s="3" t="n">
        <f aca="false">H71*V71</f>
        <v>0.1925</v>
      </c>
      <c r="Y71" s="3" t="n">
        <f aca="false">O71*V71</f>
        <v>0.1575</v>
      </c>
      <c r="Z71" s="3" t="n">
        <f aca="false">H71*O71*V71</f>
        <v>0.086625</v>
      </c>
    </row>
    <row r="72" customFormat="false" ht="13.8" hidden="false" customHeight="false" outlineLevel="0" collapsed="false">
      <c r="A72" s="1" t="n">
        <v>44866</v>
      </c>
      <c r="B72" s="2" t="n">
        <v>2393.18181818181</v>
      </c>
      <c r="C72" s="2" t="n">
        <v>0</v>
      </c>
      <c r="D72" s="2" t="n">
        <v>0</v>
      </c>
      <c r="E72" s="2" t="n">
        <v>1</v>
      </c>
      <c r="F72" s="2" t="n">
        <v>0</v>
      </c>
      <c r="G72" s="2" t="n">
        <v>1</v>
      </c>
      <c r="H72" s="2" t="n">
        <f aca="false">0.35 * E72 + 0.2 * C72 + 0.2 * G72 + 0.15 * F72 + 0.1 * D72</f>
        <v>0.55</v>
      </c>
      <c r="I72" s="2" t="n">
        <v>0</v>
      </c>
      <c r="J72" s="2" t="n">
        <v>0</v>
      </c>
      <c r="K72" s="2" t="n">
        <v>1</v>
      </c>
      <c r="L72" s="2" t="n">
        <v>1</v>
      </c>
      <c r="M72" s="2" t="n">
        <v>0</v>
      </c>
      <c r="N72" s="2" t="n">
        <v>1</v>
      </c>
      <c r="O72" s="2" t="n">
        <f aca="false">0.3*L72 + 0.25 * M72+0.2 * J72 + 0.15*N72 + 0.1 * I72</f>
        <v>0.45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1</v>
      </c>
      <c r="U72" s="2" t="n">
        <v>1</v>
      </c>
      <c r="V72" s="3" t="n">
        <f aca="false">0.3 * Q72 + 0.25 * S72 + 0.2 * T72 + 0.15 * U72 + 0.1 * P72</f>
        <v>0.35</v>
      </c>
      <c r="W72" s="3" t="n">
        <f aca="false">H72*O72</f>
        <v>0.2475</v>
      </c>
      <c r="X72" s="3" t="n">
        <f aca="false">H72*V72</f>
        <v>0.1925</v>
      </c>
      <c r="Y72" s="3" t="n">
        <f aca="false">O72*V72</f>
        <v>0.1575</v>
      </c>
      <c r="Z72" s="3" t="n">
        <f aca="false">H72*O72*V72</f>
        <v>0.086625</v>
      </c>
    </row>
    <row r="73" customFormat="false" ht="13.8" hidden="false" customHeight="false" outlineLevel="0" collapsed="false">
      <c r="A73" s="1" t="n">
        <v>44896</v>
      </c>
      <c r="B73" s="2" t="n">
        <v>2325</v>
      </c>
      <c r="C73" s="2" t="n">
        <v>0</v>
      </c>
      <c r="D73" s="2" t="n">
        <v>0</v>
      </c>
      <c r="E73" s="2" t="n">
        <v>1</v>
      </c>
      <c r="F73" s="2" t="n">
        <v>0</v>
      </c>
      <c r="G73" s="2" t="n">
        <v>1</v>
      </c>
      <c r="H73" s="2" t="n">
        <f aca="false">0.35 * E73 + 0.2 * C73 + 0.2 * G73 + 0.15 * F73 + 0.1 * D73</f>
        <v>0.55</v>
      </c>
      <c r="I73" s="2" t="n">
        <v>0</v>
      </c>
      <c r="J73" s="2" t="n">
        <v>0</v>
      </c>
      <c r="K73" s="2" t="n">
        <v>1</v>
      </c>
      <c r="L73" s="2" t="n">
        <v>1</v>
      </c>
      <c r="M73" s="2" t="n">
        <v>0</v>
      </c>
      <c r="N73" s="2" t="n">
        <v>1</v>
      </c>
      <c r="O73" s="2" t="n">
        <f aca="false">0.3*L73 + 0.25 * M73+0.2 * J73 + 0.15*N73 + 0.1 * I73</f>
        <v>0.45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1</v>
      </c>
      <c r="U73" s="2" t="n">
        <v>1</v>
      </c>
      <c r="V73" s="3" t="n">
        <f aca="false">0.3 * Q73 + 0.25 * S73 + 0.2 * T73 + 0.15 * U73 + 0.1 * P73</f>
        <v>0.35</v>
      </c>
      <c r="W73" s="3" t="n">
        <f aca="false">H73*O73</f>
        <v>0.2475</v>
      </c>
      <c r="X73" s="3" t="n">
        <f aca="false">H73*V73</f>
        <v>0.1925</v>
      </c>
      <c r="Y73" s="3" t="n">
        <f aca="false">O73*V73</f>
        <v>0.1575</v>
      </c>
      <c r="Z73" s="3" t="n">
        <f aca="false">H73*O73*V73</f>
        <v>0.086625</v>
      </c>
    </row>
    <row r="74" customFormat="false" ht="13.8" hidden="false" customHeight="false" outlineLevel="0" collapsed="false">
      <c r="A74" s="1" t="n">
        <v>44927</v>
      </c>
      <c r="B74" s="2" t="n">
        <v>2384.0909090909</v>
      </c>
      <c r="C74" s="2" t="n">
        <v>0</v>
      </c>
      <c r="D74" s="2" t="n">
        <v>0</v>
      </c>
      <c r="E74" s="2" t="n">
        <v>1</v>
      </c>
      <c r="F74" s="2" t="n">
        <v>0</v>
      </c>
      <c r="G74" s="2" t="n">
        <v>1</v>
      </c>
      <c r="H74" s="2" t="n">
        <f aca="false">0.35 * E74 + 0.2 * C74 + 0.2 * G74 + 0.15 * F74 + 0.1 * D74</f>
        <v>0.55</v>
      </c>
      <c r="I74" s="2" t="n">
        <v>0</v>
      </c>
      <c r="J74" s="2" t="n">
        <v>0</v>
      </c>
      <c r="K74" s="2" t="n">
        <v>1</v>
      </c>
      <c r="L74" s="2" t="n">
        <v>1</v>
      </c>
      <c r="M74" s="2" t="n">
        <v>1</v>
      </c>
      <c r="N74" s="2" t="n">
        <v>1</v>
      </c>
      <c r="O74" s="2" t="n">
        <f aca="false">0.3*L74 + 0.25 * M74+0.2 * J74 + 0.15*N74 + 0.1 * I74</f>
        <v>0.7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1</v>
      </c>
      <c r="U74" s="2" t="n">
        <v>1</v>
      </c>
      <c r="V74" s="3" t="n">
        <f aca="false">0.3 * Q74 + 0.25 * S74 + 0.2 * T74 + 0.15 * U74 + 0.1 * P74</f>
        <v>0.35</v>
      </c>
      <c r="W74" s="3" t="n">
        <f aca="false">H74*O74</f>
        <v>0.385</v>
      </c>
      <c r="X74" s="3" t="n">
        <f aca="false">H74*V74</f>
        <v>0.1925</v>
      </c>
      <c r="Y74" s="3" t="n">
        <f aca="false">O74*V74</f>
        <v>0.245</v>
      </c>
      <c r="Z74" s="3" t="n">
        <f aca="false">H74*O74*V74</f>
        <v>0.13475</v>
      </c>
    </row>
    <row r="75" customFormat="false" ht="13.8" hidden="false" customHeight="false" outlineLevel="0" collapsed="false">
      <c r="A75" s="1" t="n">
        <v>44958</v>
      </c>
      <c r="B75" s="2" t="n">
        <v>2425</v>
      </c>
      <c r="C75" s="2" t="n">
        <v>0</v>
      </c>
      <c r="D75" s="2" t="n">
        <v>0</v>
      </c>
      <c r="E75" s="2" t="n">
        <v>1</v>
      </c>
      <c r="F75" s="2" t="n">
        <v>0</v>
      </c>
      <c r="G75" s="2" t="n">
        <v>1</v>
      </c>
      <c r="H75" s="2" t="n">
        <f aca="false">0.35 * E75 + 0.2 * C75 + 0.2 * G75 + 0.15 * F75 + 0.1 * D75</f>
        <v>0.55</v>
      </c>
      <c r="I75" s="2" t="n">
        <v>0</v>
      </c>
      <c r="J75" s="2" t="n">
        <v>0</v>
      </c>
      <c r="K75" s="2" t="n">
        <v>1</v>
      </c>
      <c r="L75" s="2" t="n">
        <v>1</v>
      </c>
      <c r="M75" s="2" t="n">
        <v>1</v>
      </c>
      <c r="N75" s="2" t="n">
        <v>1</v>
      </c>
      <c r="O75" s="2" t="n">
        <f aca="false">0.3*L75 + 0.25 * M75+0.2 * J75 + 0.15*N75 + 0.1 * I75</f>
        <v>0.7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1</v>
      </c>
      <c r="U75" s="2" t="n">
        <v>1</v>
      </c>
      <c r="V75" s="3" t="n">
        <f aca="false">0.3 * Q75 + 0.25 * S75 + 0.2 * T75 + 0.15 * U75 + 0.1 * P75</f>
        <v>0.35</v>
      </c>
      <c r="W75" s="3" t="n">
        <f aca="false">H75*O75</f>
        <v>0.385</v>
      </c>
      <c r="X75" s="3" t="n">
        <f aca="false">H75*V75</f>
        <v>0.1925</v>
      </c>
      <c r="Y75" s="3" t="n">
        <f aca="false">O75*V75</f>
        <v>0.245</v>
      </c>
      <c r="Z75" s="3" t="n">
        <f aca="false">H75*O75*V75</f>
        <v>0.13475</v>
      </c>
    </row>
    <row r="76" customFormat="false" ht="13.8" hidden="false" customHeight="false" outlineLevel="0" collapsed="false">
      <c r="A76" s="1" t="n">
        <v>44986</v>
      </c>
      <c r="B76" s="2" t="n">
        <v>2507.17391304347</v>
      </c>
      <c r="C76" s="2" t="n">
        <v>0</v>
      </c>
      <c r="D76" s="2" t="n">
        <v>0</v>
      </c>
      <c r="E76" s="2" t="n">
        <v>1</v>
      </c>
      <c r="F76" s="2" t="n">
        <v>0</v>
      </c>
      <c r="G76" s="2" t="n">
        <v>1</v>
      </c>
      <c r="H76" s="2" t="n">
        <f aca="false">0.35 * E76 + 0.2 * C76 + 0.2 * G76 + 0.15 * F76 + 0.1 * D76</f>
        <v>0.55</v>
      </c>
      <c r="I76" s="2" t="n">
        <v>0</v>
      </c>
      <c r="J76" s="2" t="n">
        <v>0</v>
      </c>
      <c r="K76" s="2" t="n">
        <v>1</v>
      </c>
      <c r="L76" s="2" t="n">
        <v>1</v>
      </c>
      <c r="M76" s="2" t="n">
        <v>1</v>
      </c>
      <c r="N76" s="2" t="n">
        <v>1</v>
      </c>
      <c r="O76" s="2" t="n">
        <f aca="false">0.3*L76 + 0.25 * M76+0.2 * J76 + 0.15*N76 + 0.1 * I76</f>
        <v>0.7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1</v>
      </c>
      <c r="U76" s="2" t="n">
        <v>1</v>
      </c>
      <c r="V76" s="3" t="n">
        <f aca="false">0.3 * Q76 + 0.25 * S76 + 0.2 * T76 + 0.15 * U76 + 0.1 * P76</f>
        <v>0.35</v>
      </c>
      <c r="W76" s="3" t="n">
        <f aca="false">H76*O76</f>
        <v>0.385</v>
      </c>
      <c r="X76" s="3" t="n">
        <f aca="false">H76*V76</f>
        <v>0.1925</v>
      </c>
      <c r="Y76" s="3" t="n">
        <f aca="false">O76*V76</f>
        <v>0.245</v>
      </c>
      <c r="Z76" s="3" t="n">
        <f aca="false">H76*O76*V76</f>
        <v>0.13475</v>
      </c>
    </row>
    <row r="77" customFormat="false" ht="13.8" hidden="false" customHeight="false" outlineLevel="0" collapsed="false">
      <c r="A77" s="1" t="n">
        <v>45017</v>
      </c>
      <c r="B77" s="2" t="n">
        <v>2374.75</v>
      </c>
      <c r="C77" s="2" t="n">
        <v>0</v>
      </c>
      <c r="D77" s="2" t="n">
        <v>0</v>
      </c>
      <c r="E77" s="2" t="n">
        <v>1</v>
      </c>
      <c r="F77" s="2" t="n">
        <v>0</v>
      </c>
      <c r="G77" s="2" t="n">
        <v>1</v>
      </c>
      <c r="H77" s="2" t="n">
        <f aca="false">0.35 * E77 + 0.2 * C77 + 0.2 * G77 + 0.15 * F77 + 0.1 * D77</f>
        <v>0.55</v>
      </c>
      <c r="I77" s="2" t="n">
        <v>0</v>
      </c>
      <c r="J77" s="2" t="n">
        <v>0</v>
      </c>
      <c r="K77" s="2" t="n">
        <v>1</v>
      </c>
      <c r="L77" s="2" t="n">
        <v>1</v>
      </c>
      <c r="M77" s="2" t="n">
        <v>1</v>
      </c>
      <c r="N77" s="2" t="n">
        <v>1</v>
      </c>
      <c r="O77" s="2" t="n">
        <f aca="false">0.3*L77 + 0.25 * M77+0.2 * J77 + 0.15*N77 + 0.1 * I77</f>
        <v>0.7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1</v>
      </c>
      <c r="U77" s="2" t="n">
        <v>1</v>
      </c>
      <c r="V77" s="3" t="n">
        <f aca="false">0.3 * Q77 + 0.25 * S77 + 0.2 * T77 + 0.15 * U77 + 0.1 * P77</f>
        <v>0.35</v>
      </c>
      <c r="W77" s="3" t="n">
        <f aca="false">H77*O77</f>
        <v>0.385</v>
      </c>
      <c r="X77" s="3" t="n">
        <f aca="false">H77*V77</f>
        <v>0.1925</v>
      </c>
      <c r="Y77" s="3" t="n">
        <f aca="false">O77*V77</f>
        <v>0.245</v>
      </c>
      <c r="Z77" s="3" t="n">
        <f aca="false">H77*O77*V77</f>
        <v>0.13475</v>
      </c>
    </row>
    <row r="78" customFormat="false" ht="13.8" hidden="false" customHeight="false" outlineLevel="0" collapsed="false">
      <c r="A78" s="1" t="n">
        <v>45047</v>
      </c>
      <c r="B78" s="2" t="n">
        <v>2350</v>
      </c>
      <c r="C78" s="2" t="n">
        <v>0</v>
      </c>
      <c r="D78" s="2" t="n">
        <v>0</v>
      </c>
      <c r="E78" s="2" t="n">
        <v>1</v>
      </c>
      <c r="F78" s="2" t="n">
        <v>0</v>
      </c>
      <c r="G78" s="2" t="n">
        <v>1</v>
      </c>
      <c r="H78" s="2" t="n">
        <f aca="false">0.35 * E78 + 0.2 * C78 + 0.2 * G78 + 0.15 * F78 + 0.1 * D78</f>
        <v>0.55</v>
      </c>
      <c r="I78" s="2" t="n">
        <v>0</v>
      </c>
      <c r="J78" s="2" t="n">
        <v>0</v>
      </c>
      <c r="K78" s="2" t="n">
        <v>1</v>
      </c>
      <c r="L78" s="2" t="n">
        <v>1</v>
      </c>
      <c r="M78" s="2" t="n">
        <v>1</v>
      </c>
      <c r="N78" s="2" t="n">
        <v>1</v>
      </c>
      <c r="O78" s="2" t="n">
        <f aca="false">0.3*L78 + 0.25 * M78+0.2 * J78 + 0.15*N78 + 0.1 * I78</f>
        <v>0.7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1</v>
      </c>
      <c r="U78" s="2" t="n">
        <v>1</v>
      </c>
      <c r="V78" s="3" t="n">
        <f aca="false">0.3 * Q78 + 0.25 * S78 + 0.2 * T78 + 0.15 * U78 + 0.1 * P78</f>
        <v>0.35</v>
      </c>
      <c r="W78" s="3" t="n">
        <f aca="false">H78*O78</f>
        <v>0.385</v>
      </c>
      <c r="X78" s="3" t="n">
        <f aca="false">H78*V78</f>
        <v>0.1925</v>
      </c>
      <c r="Y78" s="3" t="n">
        <f aca="false">O78*V78</f>
        <v>0.245</v>
      </c>
      <c r="Z78" s="3" t="n">
        <f aca="false">H78*O78*V78</f>
        <v>0.13475</v>
      </c>
    </row>
    <row r="79" customFormat="false" ht="13.8" hidden="false" customHeight="false" outlineLevel="0" collapsed="false">
      <c r="A79" s="1" t="n">
        <v>45078</v>
      </c>
      <c r="B79" s="2" t="n">
        <v>2350</v>
      </c>
      <c r="C79" s="2" t="n">
        <v>0</v>
      </c>
      <c r="D79" s="2" t="n">
        <v>0</v>
      </c>
      <c r="E79" s="2" t="n">
        <v>1</v>
      </c>
      <c r="F79" s="2" t="n">
        <v>0</v>
      </c>
      <c r="G79" s="2" t="n">
        <v>1</v>
      </c>
      <c r="H79" s="2" t="n">
        <f aca="false">0.35 * E79 + 0.2 * C79 + 0.2 * G79 + 0.15 * F79 + 0.1 * D79</f>
        <v>0.55</v>
      </c>
      <c r="I79" s="2" t="n">
        <v>0</v>
      </c>
      <c r="J79" s="2" t="n">
        <v>0</v>
      </c>
      <c r="K79" s="2" t="n">
        <v>1</v>
      </c>
      <c r="L79" s="2" t="n">
        <v>1</v>
      </c>
      <c r="M79" s="2" t="n">
        <v>1</v>
      </c>
      <c r="N79" s="2" t="n">
        <v>1</v>
      </c>
      <c r="O79" s="2" t="n">
        <f aca="false">0.3*L79 + 0.25 * M79+0.2 * J79 + 0.15*N79 + 0.1 * I79</f>
        <v>0.7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1</v>
      </c>
      <c r="U79" s="2" t="n">
        <v>1</v>
      </c>
      <c r="V79" s="3" t="n">
        <f aca="false">0.3 * Q79 + 0.25 * S79 + 0.2 * T79 + 0.15 * U79 + 0.1 * P79</f>
        <v>0.35</v>
      </c>
      <c r="W79" s="3" t="n">
        <f aca="false">H79*O79</f>
        <v>0.385</v>
      </c>
      <c r="X79" s="3" t="n">
        <f aca="false">H79*V79</f>
        <v>0.1925</v>
      </c>
      <c r="Y79" s="3" t="n">
        <f aca="false">O79*V79</f>
        <v>0.245</v>
      </c>
      <c r="Z79" s="3" t="n">
        <f aca="false">H79*O79*V79</f>
        <v>0.13475</v>
      </c>
    </row>
    <row r="80" customFormat="false" ht="13.8" hidden="false" customHeight="false" outlineLevel="0" collapsed="false">
      <c r="A80" s="1" t="n">
        <v>45108</v>
      </c>
      <c r="B80" s="2" t="n">
        <v>2097.02380952381</v>
      </c>
      <c r="C80" s="2" t="n">
        <v>0</v>
      </c>
      <c r="D80" s="2" t="n">
        <v>0</v>
      </c>
      <c r="E80" s="2" t="n">
        <v>1</v>
      </c>
      <c r="F80" s="2" t="n">
        <v>0</v>
      </c>
      <c r="G80" s="2" t="n">
        <v>1</v>
      </c>
      <c r="H80" s="2" t="n">
        <f aca="false">0.35 * E80 + 0.2 * C80 + 0.2 * G80 + 0.15 * F80 + 0.1 * D80</f>
        <v>0.55</v>
      </c>
      <c r="I80" s="2" t="n">
        <v>0</v>
      </c>
      <c r="J80" s="2" t="n">
        <v>0</v>
      </c>
      <c r="K80" s="2" t="n">
        <v>1</v>
      </c>
      <c r="L80" s="2" t="n">
        <v>1</v>
      </c>
      <c r="M80" s="2" t="n">
        <v>1</v>
      </c>
      <c r="N80" s="2" t="n">
        <v>1</v>
      </c>
      <c r="O80" s="2" t="n">
        <f aca="false">0.3*L80 + 0.25 * M80+0.2 * J80 + 0.15*N80 + 0.1 * I80</f>
        <v>0.7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1</v>
      </c>
      <c r="U80" s="2" t="n">
        <v>1</v>
      </c>
      <c r="V80" s="3" t="n">
        <f aca="false">0.3 * Q80 + 0.25 * S80 + 0.2 * T80 + 0.15 * U80 + 0.1 * P80</f>
        <v>0.35</v>
      </c>
      <c r="W80" s="3" t="n">
        <f aca="false">H80*O80</f>
        <v>0.385</v>
      </c>
      <c r="X80" s="3" t="n">
        <f aca="false">H80*V80</f>
        <v>0.1925</v>
      </c>
      <c r="Y80" s="3" t="n">
        <f aca="false">O80*V80</f>
        <v>0.245</v>
      </c>
      <c r="Z80" s="3" t="n">
        <f aca="false">H80*O80*V80</f>
        <v>0.13475</v>
      </c>
    </row>
    <row r="81" customFormat="false" ht="13.8" hidden="false" customHeight="false" outlineLevel="0" collapsed="false">
      <c r="A81" s="1" t="n">
        <v>45139</v>
      </c>
      <c r="B81" s="2" t="n">
        <v>2037.5</v>
      </c>
      <c r="C81" s="2" t="n">
        <v>0</v>
      </c>
      <c r="D81" s="2" t="n">
        <v>0</v>
      </c>
      <c r="E81" s="2" t="n">
        <v>1</v>
      </c>
      <c r="F81" s="2" t="n">
        <v>0</v>
      </c>
      <c r="G81" s="2" t="n">
        <v>1</v>
      </c>
      <c r="H81" s="2" t="n">
        <f aca="false">0.35 * E81 + 0.2 * C81 + 0.2 * G81 + 0.15 * F81 + 0.1 * D81</f>
        <v>0.55</v>
      </c>
      <c r="I81" s="2" t="n">
        <v>0</v>
      </c>
      <c r="J81" s="2" t="n">
        <v>0</v>
      </c>
      <c r="K81" s="2" t="n">
        <v>1</v>
      </c>
      <c r="L81" s="2" t="n">
        <v>1</v>
      </c>
      <c r="M81" s="2" t="n">
        <v>1</v>
      </c>
      <c r="N81" s="2" t="n">
        <v>1</v>
      </c>
      <c r="O81" s="2" t="n">
        <f aca="false">0.3*L81 + 0.25 * M81+0.2 * J81 + 0.15*N81 + 0.1 * I81</f>
        <v>0.7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1</v>
      </c>
      <c r="U81" s="2" t="n">
        <v>1</v>
      </c>
      <c r="V81" s="3" t="n">
        <f aca="false">0.3 * Q81 + 0.25 * S81 + 0.2 * T81 + 0.15 * U81 + 0.1 * P81</f>
        <v>0.35</v>
      </c>
      <c r="W81" s="3" t="n">
        <f aca="false">H81*O81</f>
        <v>0.385</v>
      </c>
      <c r="X81" s="3" t="n">
        <f aca="false">H81*V81</f>
        <v>0.1925</v>
      </c>
      <c r="Y81" s="3" t="n">
        <f aca="false">O81*V81</f>
        <v>0.245</v>
      </c>
      <c r="Z81" s="3" t="n">
        <f aca="false">H81*O81*V81</f>
        <v>0.13475</v>
      </c>
    </row>
    <row r="82" customFormat="false" ht="13.8" hidden="false" customHeight="false" outlineLevel="0" collapsed="false">
      <c r="A82" s="1" t="n">
        <v>45170</v>
      </c>
      <c r="B82" s="2" t="n">
        <v>2037.5</v>
      </c>
      <c r="C82" s="2" t="n">
        <v>0</v>
      </c>
      <c r="D82" s="2" t="n">
        <v>0</v>
      </c>
      <c r="E82" s="2" t="n">
        <v>1</v>
      </c>
      <c r="F82" s="2" t="n">
        <v>0</v>
      </c>
      <c r="G82" s="2" t="n">
        <v>1</v>
      </c>
      <c r="H82" s="2" t="n">
        <f aca="false">0.35 * E82 + 0.2 * C82 + 0.2 * G82 + 0.15 * F82 + 0.1 * D82</f>
        <v>0.55</v>
      </c>
      <c r="I82" s="2" t="n">
        <v>0</v>
      </c>
      <c r="J82" s="2" t="n">
        <v>0</v>
      </c>
      <c r="K82" s="2" t="n">
        <v>1</v>
      </c>
      <c r="L82" s="2" t="n">
        <v>1</v>
      </c>
      <c r="M82" s="2" t="n">
        <v>1</v>
      </c>
      <c r="N82" s="2" t="n">
        <v>1</v>
      </c>
      <c r="O82" s="2" t="n">
        <f aca="false">0.3*L82 + 0.25 * M82+0.2 * J82 + 0.15*N82 + 0.1 * I82</f>
        <v>0.7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1</v>
      </c>
      <c r="U82" s="2" t="n">
        <v>1</v>
      </c>
      <c r="V82" s="3" t="n">
        <f aca="false">0.3 * Q82 + 0.25 * S82 + 0.2 * T82 + 0.15 * U82 + 0.1 * P82</f>
        <v>0.35</v>
      </c>
      <c r="W82" s="3" t="n">
        <f aca="false">H82*O82</f>
        <v>0.385</v>
      </c>
      <c r="X82" s="3" t="n">
        <f aca="false">H82*V82</f>
        <v>0.1925</v>
      </c>
      <c r="Y82" s="3" t="n">
        <f aca="false">O82*V82</f>
        <v>0.245</v>
      </c>
      <c r="Z82" s="3" t="n">
        <f aca="false">H82*O82*V82</f>
        <v>0.13475</v>
      </c>
    </row>
    <row r="83" customFormat="false" ht="13.8" hidden="false" customHeight="false" outlineLevel="0" collapsed="false">
      <c r="A83" s="1" t="n">
        <v>45200</v>
      </c>
      <c r="B83" s="2" t="n">
        <v>2037.5</v>
      </c>
      <c r="C83" s="2" t="n">
        <v>0</v>
      </c>
      <c r="D83" s="2" t="n">
        <v>0</v>
      </c>
      <c r="E83" s="2" t="n">
        <v>1</v>
      </c>
      <c r="F83" s="2" t="n">
        <v>1</v>
      </c>
      <c r="G83" s="2" t="n">
        <v>1</v>
      </c>
      <c r="H83" s="2" t="n">
        <f aca="false">0.35 * E83 + 0.2 * C83 + 0.2 * G83 + 0.15 * F83 + 0.1 * D83</f>
        <v>0.7</v>
      </c>
      <c r="I83" s="2" t="n">
        <v>0</v>
      </c>
      <c r="J83" s="2" t="n">
        <v>0</v>
      </c>
      <c r="K83" s="2" t="n">
        <v>1</v>
      </c>
      <c r="L83" s="2" t="n">
        <v>1</v>
      </c>
      <c r="M83" s="2" t="n">
        <v>1</v>
      </c>
      <c r="N83" s="2" t="n">
        <v>1</v>
      </c>
      <c r="O83" s="2" t="n">
        <f aca="false">0.3*L83 + 0.25 * M83+0.2 * J83 + 0.15*N83 + 0.1 * I83</f>
        <v>0.7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1</v>
      </c>
      <c r="U83" s="2" t="n">
        <v>1</v>
      </c>
      <c r="V83" s="3" t="n">
        <f aca="false">0.3 * Q83 + 0.25 * S83 + 0.2 * T83 + 0.15 * U83 + 0.1 * P83</f>
        <v>0.35</v>
      </c>
      <c r="W83" s="3" t="n">
        <f aca="false">H83*O83</f>
        <v>0.49</v>
      </c>
      <c r="X83" s="3" t="n">
        <f aca="false">H83*V83</f>
        <v>0.245</v>
      </c>
      <c r="Y83" s="3" t="n">
        <f aca="false">O83*V83</f>
        <v>0.245</v>
      </c>
      <c r="Z83" s="3" t="n">
        <f aca="false">H83*O83*V83</f>
        <v>0.1715</v>
      </c>
    </row>
    <row r="84" customFormat="false" ht="13.8" hidden="false" customHeight="false" outlineLevel="0" collapsed="false">
      <c r="A84" s="1" t="n">
        <v>45231</v>
      </c>
      <c r="B84" s="2" t="n">
        <v>2068.18181818181</v>
      </c>
      <c r="C84" s="2" t="n">
        <v>0</v>
      </c>
      <c r="D84" s="2" t="n">
        <v>0</v>
      </c>
      <c r="E84" s="2" t="n">
        <v>1</v>
      </c>
      <c r="F84" s="2" t="n">
        <v>1</v>
      </c>
      <c r="G84" s="2" t="n">
        <v>1</v>
      </c>
      <c r="H84" s="2" t="n">
        <f aca="false">0.35 * E84 + 0.2 * C84 + 0.2 * G84 + 0.15 * F84 + 0.1 * D84</f>
        <v>0.7</v>
      </c>
      <c r="I84" s="2" t="n">
        <v>0</v>
      </c>
      <c r="J84" s="2" t="n">
        <v>0</v>
      </c>
      <c r="K84" s="2" t="n">
        <v>1</v>
      </c>
      <c r="L84" s="2" t="n">
        <v>1</v>
      </c>
      <c r="M84" s="2" t="n">
        <v>1</v>
      </c>
      <c r="N84" s="2" t="n">
        <v>1</v>
      </c>
      <c r="O84" s="2" t="n">
        <f aca="false">0.3*L84 + 0.25 * M84+0.2 * J84 + 0.15*N84 + 0.1 * I84</f>
        <v>0.7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1</v>
      </c>
      <c r="U84" s="2" t="n">
        <v>1</v>
      </c>
      <c r="V84" s="3" t="n">
        <f aca="false">0.3 * Q84 + 0.25 * S84 + 0.2 * T84 + 0.15 * U84 + 0.1 * P84</f>
        <v>0.35</v>
      </c>
      <c r="W84" s="3" t="n">
        <f aca="false">H84*O84</f>
        <v>0.49</v>
      </c>
      <c r="X84" s="3" t="n">
        <f aca="false">H84*V84</f>
        <v>0.245</v>
      </c>
      <c r="Y84" s="3" t="n">
        <f aca="false">O84*V84</f>
        <v>0.245</v>
      </c>
      <c r="Z84" s="3" t="n">
        <f aca="false">H84*O84*V84</f>
        <v>0.1715</v>
      </c>
    </row>
    <row r="85" customFormat="false" ht="13.8" hidden="false" customHeight="false" outlineLevel="0" collapsed="false">
      <c r="A85" s="1" t="n">
        <v>45261</v>
      </c>
      <c r="B85" s="2" t="n">
        <v>2027.38095238095</v>
      </c>
      <c r="C85" s="2" t="n">
        <v>0</v>
      </c>
      <c r="D85" s="2" t="n">
        <v>0</v>
      </c>
      <c r="E85" s="2" t="n">
        <v>1</v>
      </c>
      <c r="F85" s="2" t="n">
        <v>1</v>
      </c>
      <c r="G85" s="2" t="n">
        <v>1</v>
      </c>
      <c r="H85" s="2" t="n">
        <f aca="false">0.35 * E85 + 0.2 * C85 + 0.2 * G85 + 0.15 * F85 + 0.1 * D85</f>
        <v>0.7</v>
      </c>
      <c r="I85" s="2" t="n">
        <v>0</v>
      </c>
      <c r="J85" s="2" t="n">
        <v>0</v>
      </c>
      <c r="K85" s="2" t="n">
        <v>1</v>
      </c>
      <c r="L85" s="2" t="n">
        <v>1</v>
      </c>
      <c r="M85" s="2" t="n">
        <v>1</v>
      </c>
      <c r="N85" s="2" t="n">
        <v>1</v>
      </c>
      <c r="O85" s="2" t="n">
        <f aca="false">0.3*L85 + 0.25 * M85+0.2 * J85 + 0.15*N85 + 0.1 * I85</f>
        <v>0.7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1</v>
      </c>
      <c r="U85" s="2" t="n">
        <v>1</v>
      </c>
      <c r="V85" s="3" t="n">
        <f aca="false">0.3 * Q85 + 0.25 * S85 + 0.2 * T85 + 0.15 * U85 + 0.1 * P85</f>
        <v>0.35</v>
      </c>
      <c r="W85" s="3" t="n">
        <f aca="false">H85*O85</f>
        <v>0.49</v>
      </c>
      <c r="X85" s="3" t="n">
        <f aca="false">H85*V85</f>
        <v>0.245</v>
      </c>
      <c r="Y85" s="3" t="n">
        <f aca="false">O85*V85</f>
        <v>0.245</v>
      </c>
      <c r="Z85" s="3" t="n">
        <f aca="false">H85*O85*V85</f>
        <v>0.1715</v>
      </c>
    </row>
    <row r="86" customFormat="false" ht="13.8" hidden="false" customHeight="false" outlineLevel="0" collapsed="false">
      <c r="A86" s="1" t="n">
        <v>45292</v>
      </c>
      <c r="B86" s="2" t="n">
        <v>2023.91304347826</v>
      </c>
      <c r="C86" s="2" t="n">
        <v>0</v>
      </c>
      <c r="D86" s="2" t="n">
        <v>0</v>
      </c>
      <c r="E86" s="2" t="n">
        <v>1</v>
      </c>
      <c r="F86" s="2" t="n">
        <v>1</v>
      </c>
      <c r="G86" s="2" t="n">
        <v>1</v>
      </c>
      <c r="H86" s="2" t="n">
        <f aca="false">0.35 * E86 + 0.2 * C86 + 0.2 * G86 + 0.15 * F86 + 0.1 * D86</f>
        <v>0.7</v>
      </c>
      <c r="I86" s="2" t="n">
        <v>0</v>
      </c>
      <c r="J86" s="2" t="n">
        <v>0</v>
      </c>
      <c r="K86" s="2" t="n">
        <v>1</v>
      </c>
      <c r="L86" s="2" t="n">
        <v>1</v>
      </c>
      <c r="M86" s="2" t="n">
        <v>1</v>
      </c>
      <c r="N86" s="2" t="n">
        <v>1</v>
      </c>
      <c r="O86" s="2" t="n">
        <f aca="false">0.3*L86 + 0.25 * M86+0.2 * J86 + 0.15*N86 + 0.1 * I86</f>
        <v>0.7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1</v>
      </c>
      <c r="U86" s="2" t="n">
        <v>1</v>
      </c>
      <c r="V86" s="3" t="n">
        <f aca="false">0.3 * Q86 + 0.25 * S86 + 0.2 * T86 + 0.15 * U86 + 0.1 * P86</f>
        <v>0.35</v>
      </c>
      <c r="W86" s="3" t="n">
        <f aca="false">H86*O86</f>
        <v>0.49</v>
      </c>
      <c r="X86" s="3" t="n">
        <f aca="false">H86*V86</f>
        <v>0.245</v>
      </c>
      <c r="Y86" s="3" t="n">
        <f aca="false">O86*V86</f>
        <v>0.245</v>
      </c>
      <c r="Z86" s="3" t="n">
        <f aca="false">H86*O86*V86</f>
        <v>0.1715</v>
      </c>
    </row>
    <row r="87" customFormat="false" ht="13.8" hidden="false" customHeight="false" outlineLevel="0" collapsed="false">
      <c r="A87" s="1" t="n">
        <v>45323</v>
      </c>
      <c r="B87" s="2" t="n">
        <v>2008.33333333333</v>
      </c>
      <c r="C87" s="2" t="n">
        <v>0</v>
      </c>
      <c r="D87" s="2" t="n">
        <v>0</v>
      </c>
      <c r="E87" s="2" t="n">
        <v>1</v>
      </c>
      <c r="F87" s="2" t="n">
        <v>1</v>
      </c>
      <c r="G87" s="2" t="n">
        <v>1</v>
      </c>
      <c r="H87" s="2" t="n">
        <f aca="false">0.35 * E87 + 0.2 * C87 + 0.2 * G87 + 0.15 * F87 + 0.1 * D87</f>
        <v>0.7</v>
      </c>
      <c r="I87" s="2" t="n">
        <v>0</v>
      </c>
      <c r="J87" s="2" t="n">
        <v>0</v>
      </c>
      <c r="K87" s="2" t="n">
        <v>1</v>
      </c>
      <c r="L87" s="2" t="n">
        <v>1</v>
      </c>
      <c r="M87" s="2" t="n">
        <v>1</v>
      </c>
      <c r="N87" s="2" t="n">
        <v>1</v>
      </c>
      <c r="O87" s="2" t="n">
        <f aca="false">0.3*L87 + 0.25 * M87+0.2 * J87 + 0.15*N87 + 0.1 * I87</f>
        <v>0.7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1</v>
      </c>
      <c r="U87" s="2" t="n">
        <v>1</v>
      </c>
      <c r="V87" s="3" t="n">
        <f aca="false">0.3 * Q87 + 0.25 * S87 + 0.2 * T87 + 0.15 * U87 + 0.1 * P87</f>
        <v>0.35</v>
      </c>
      <c r="W87" s="3" t="n">
        <f aca="false">H87*O87</f>
        <v>0.49</v>
      </c>
      <c r="X87" s="3" t="n">
        <f aca="false">H87*V87</f>
        <v>0.245</v>
      </c>
      <c r="Y87" s="3" t="n">
        <f aca="false">O87*V87</f>
        <v>0.245</v>
      </c>
      <c r="Z87" s="3" t="n">
        <f aca="false">H87*O87*V87</f>
        <v>0.1715</v>
      </c>
    </row>
    <row r="88" customFormat="false" ht="13.8" hidden="false" customHeight="false" outlineLevel="0" collapsed="false">
      <c r="A88" s="1" t="n">
        <v>45352</v>
      </c>
      <c r="B88" s="2" t="n">
        <v>1971.42857142857</v>
      </c>
      <c r="C88" s="2" t="n">
        <v>0</v>
      </c>
      <c r="D88" s="2" t="n">
        <v>0</v>
      </c>
      <c r="E88" s="2" t="n">
        <v>1</v>
      </c>
      <c r="F88" s="2" t="n">
        <v>1</v>
      </c>
      <c r="G88" s="2" t="n">
        <v>1</v>
      </c>
      <c r="H88" s="2" t="n">
        <f aca="false">0.35 * E88 + 0.2 * C88 + 0.2 * G88 + 0.15 * F88 + 0.1 * D88</f>
        <v>0.7</v>
      </c>
      <c r="I88" s="2" t="n">
        <v>0</v>
      </c>
      <c r="J88" s="2" t="n">
        <v>0</v>
      </c>
      <c r="K88" s="2" t="n">
        <v>1</v>
      </c>
      <c r="L88" s="2" t="n">
        <v>1</v>
      </c>
      <c r="M88" s="2" t="n">
        <v>1</v>
      </c>
      <c r="N88" s="2" t="n">
        <v>1</v>
      </c>
      <c r="O88" s="2" t="n">
        <f aca="false">0.3*L88 + 0.25 * M88+0.2 * J88 + 0.15*N88 + 0.1 * I88</f>
        <v>0.7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1</v>
      </c>
      <c r="U88" s="2" t="n">
        <v>1</v>
      </c>
      <c r="V88" s="3" t="n">
        <f aca="false">0.3 * Q88 + 0.25 * S88 + 0.2 * T88 + 0.15 * U88 + 0.1 * P88</f>
        <v>0.35</v>
      </c>
      <c r="W88" s="3" t="n">
        <f aca="false">H88*O88</f>
        <v>0.49</v>
      </c>
      <c r="X88" s="3" t="n">
        <f aca="false">H88*V88</f>
        <v>0.245</v>
      </c>
      <c r="Y88" s="3" t="n">
        <f aca="false">O88*V88</f>
        <v>0.245</v>
      </c>
      <c r="Z88" s="3" t="n">
        <f aca="false">H88*O88*V88</f>
        <v>0.1715</v>
      </c>
    </row>
    <row r="89" customFormat="false" ht="13.8" hidden="false" customHeight="false" outlineLevel="0" collapsed="false">
      <c r="A89" s="1" t="n">
        <v>45383</v>
      </c>
      <c r="B89" s="2" t="n">
        <v>1975</v>
      </c>
      <c r="C89" s="2" t="n">
        <v>0</v>
      </c>
      <c r="D89" s="2" t="n">
        <v>0</v>
      </c>
      <c r="E89" s="2" t="n">
        <v>1</v>
      </c>
      <c r="F89" s="2" t="n">
        <v>1</v>
      </c>
      <c r="G89" s="2" t="n">
        <v>1</v>
      </c>
      <c r="H89" s="2" t="n">
        <f aca="false">0.35 * E89 + 0.2 * C89 + 0.2 * G89 + 0.15 * F89 + 0.1 * D89</f>
        <v>0.7</v>
      </c>
      <c r="I89" s="2" t="n">
        <v>0</v>
      </c>
      <c r="J89" s="2" t="n">
        <v>0</v>
      </c>
      <c r="K89" s="2" t="n">
        <v>1</v>
      </c>
      <c r="L89" s="2" t="n">
        <v>1</v>
      </c>
      <c r="M89" s="2" t="n">
        <v>1</v>
      </c>
      <c r="N89" s="2" t="n">
        <v>1</v>
      </c>
      <c r="O89" s="2" t="n">
        <f aca="false">0.3*L89 + 0.25 * M89+0.2 * J89 + 0.15*N89 + 0.1 * I89</f>
        <v>0.7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1</v>
      </c>
      <c r="U89" s="2" t="n">
        <v>1</v>
      </c>
      <c r="V89" s="3" t="n">
        <f aca="false">0.3 * Q89 + 0.25 * S89 + 0.2 * T89 + 0.15 * U89 + 0.1 * P89</f>
        <v>0.35</v>
      </c>
      <c r="W89" s="3" t="n">
        <f aca="false">H89*O89</f>
        <v>0.49</v>
      </c>
      <c r="X89" s="3" t="n">
        <f aca="false">H89*V89</f>
        <v>0.245</v>
      </c>
      <c r="Y89" s="3" t="n">
        <f aca="false">O89*V89</f>
        <v>0.245</v>
      </c>
      <c r="Z89" s="3" t="n">
        <f aca="false">H89*O89*V89</f>
        <v>0.1715</v>
      </c>
    </row>
    <row r="90" customFormat="false" ht="13.8" hidden="false" customHeight="false" outlineLevel="0" collapsed="false">
      <c r="A90" s="1" t="n">
        <v>45413</v>
      </c>
      <c r="B90" s="2" t="n">
        <v>1903.91304347826</v>
      </c>
      <c r="C90" s="2" t="n">
        <v>0</v>
      </c>
      <c r="D90" s="2" t="n">
        <v>0</v>
      </c>
      <c r="E90" s="2" t="n">
        <v>1</v>
      </c>
      <c r="F90" s="2" t="n">
        <v>1</v>
      </c>
      <c r="G90" s="2" t="n">
        <v>1</v>
      </c>
      <c r="H90" s="2" t="n">
        <f aca="false">0.35 * E90 + 0.2 * C90 + 0.2 * G90 + 0.15 * F90 + 0.1 * D90</f>
        <v>0.7</v>
      </c>
      <c r="I90" s="2" t="n">
        <v>0</v>
      </c>
      <c r="J90" s="2" t="n">
        <v>0</v>
      </c>
      <c r="K90" s="2" t="n">
        <v>1</v>
      </c>
      <c r="L90" s="2" t="n">
        <v>1</v>
      </c>
      <c r="M90" s="2" t="n">
        <v>1</v>
      </c>
      <c r="N90" s="2" t="n">
        <v>1</v>
      </c>
      <c r="O90" s="2" t="n">
        <f aca="false">0.3*L90 + 0.25 * M90+0.2 * J90 + 0.15*N90 + 0.1 * I90</f>
        <v>0.7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1</v>
      </c>
      <c r="U90" s="2" t="n">
        <v>1</v>
      </c>
      <c r="V90" s="3" t="n">
        <f aca="false">0.3 * Q90 + 0.25 * S90 + 0.2 * T90 + 0.15 * U90 + 0.1 * P90</f>
        <v>0.35</v>
      </c>
      <c r="W90" s="3" t="n">
        <f aca="false">H90*O90</f>
        <v>0.49</v>
      </c>
      <c r="X90" s="3" t="n">
        <f aca="false">H90*V90</f>
        <v>0.245</v>
      </c>
      <c r="Y90" s="3" t="n">
        <f aca="false">O90*V90</f>
        <v>0.245</v>
      </c>
      <c r="Z90" s="3" t="n">
        <f aca="false">H90*O90*V90</f>
        <v>0.1715</v>
      </c>
    </row>
    <row r="91" customFormat="false" ht="13.8" hidden="false" customHeight="false" outlineLevel="0" collapsed="false">
      <c r="A91" s="1" t="n">
        <v>45444</v>
      </c>
      <c r="B91" s="2" t="n">
        <v>2115</v>
      </c>
      <c r="C91" s="2" t="n">
        <v>0</v>
      </c>
      <c r="D91" s="2" t="n">
        <v>0</v>
      </c>
      <c r="E91" s="2" t="n">
        <v>1</v>
      </c>
      <c r="F91" s="2" t="n">
        <v>1</v>
      </c>
      <c r="G91" s="2" t="n">
        <v>1</v>
      </c>
      <c r="H91" s="2" t="n">
        <f aca="false">0.35 * E91 + 0.2 * C91 + 0.2 * G91 + 0.15 * F91 + 0.1 * D91</f>
        <v>0.7</v>
      </c>
      <c r="I91" s="2" t="n">
        <v>0</v>
      </c>
      <c r="J91" s="2" t="n">
        <v>0</v>
      </c>
      <c r="K91" s="2" t="n">
        <v>1</v>
      </c>
      <c r="L91" s="2" t="n">
        <v>1</v>
      </c>
      <c r="M91" s="2" t="n">
        <v>1</v>
      </c>
      <c r="N91" s="2" t="n">
        <v>1</v>
      </c>
      <c r="O91" s="2" t="n">
        <f aca="false">0.3*L91 + 0.25 * M91+0.2 * J91 + 0.15*N91 + 0.1 * I91</f>
        <v>0.7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1</v>
      </c>
      <c r="U91" s="2" t="n">
        <v>1</v>
      </c>
      <c r="V91" s="3" t="n">
        <f aca="false">0.3 * Q91 + 0.25 * S91 + 0.2 * T91 + 0.15 * U91 + 0.1 * P91</f>
        <v>0.35</v>
      </c>
      <c r="W91" s="3" t="n">
        <f aca="false">H91*O91</f>
        <v>0.49</v>
      </c>
      <c r="X91" s="3" t="n">
        <f aca="false">H91*V91</f>
        <v>0.245</v>
      </c>
      <c r="Y91" s="3" t="n">
        <f aca="false">O91*V91</f>
        <v>0.245</v>
      </c>
      <c r="Z91" s="3" t="n">
        <f aca="false">H91*O91*V91</f>
        <v>0.1715</v>
      </c>
    </row>
    <row r="92" customFormat="false" ht="13.8" hidden="false" customHeight="false" outlineLevel="0" collapsed="false">
      <c r="A92" s="1" t="n">
        <v>45474</v>
      </c>
      <c r="B92" s="2" t="n">
        <v>2203.69565217391</v>
      </c>
      <c r="C92" s="2" t="n">
        <v>0</v>
      </c>
      <c r="D92" s="2" t="n">
        <v>0</v>
      </c>
      <c r="E92" s="2" t="n">
        <v>1</v>
      </c>
      <c r="F92" s="2" t="n">
        <v>1</v>
      </c>
      <c r="G92" s="2" t="n">
        <v>1</v>
      </c>
      <c r="H92" s="2" t="n">
        <f aca="false">0.35 * E92 + 0.2 * C92 + 0.2 * G92 + 0.15 * F92 + 0.1 * D92</f>
        <v>0.7</v>
      </c>
      <c r="I92" s="2" t="n">
        <v>0</v>
      </c>
      <c r="J92" s="2" t="n">
        <v>0</v>
      </c>
      <c r="K92" s="2" t="n">
        <v>1</v>
      </c>
      <c r="L92" s="2" t="n">
        <v>1</v>
      </c>
      <c r="M92" s="2" t="n">
        <v>1</v>
      </c>
      <c r="N92" s="2" t="n">
        <v>1</v>
      </c>
      <c r="O92" s="2" t="n">
        <f aca="false">0.3*L92 + 0.25 * M92+0.2 * J92 + 0.15*N92 + 0.1 * I92</f>
        <v>0.7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1</v>
      </c>
      <c r="U92" s="2" t="n">
        <v>1</v>
      </c>
      <c r="V92" s="3" t="n">
        <f aca="false">0.3 * Q92 + 0.25 * S92 + 0.2 * T92 + 0.15 * U92 + 0.1 * P92</f>
        <v>0.35</v>
      </c>
      <c r="W92" s="3" t="n">
        <f aca="false">H92*O92</f>
        <v>0.49</v>
      </c>
      <c r="X92" s="3" t="n">
        <f aca="false">H92*V92</f>
        <v>0.245</v>
      </c>
      <c r="Y92" s="3" t="n">
        <f aca="false">O92*V92</f>
        <v>0.245</v>
      </c>
      <c r="Z92" s="3" t="n">
        <f aca="false">H92*O92*V92</f>
        <v>0.1715</v>
      </c>
    </row>
    <row r="93" customFormat="false" ht="13.8" hidden="false" customHeight="false" outlineLevel="0" collapsed="false">
      <c r="A93" s="1" t="n">
        <v>45505</v>
      </c>
      <c r="B93" s="2" t="n">
        <v>2172.95454545454</v>
      </c>
      <c r="C93" s="2" t="n">
        <v>0</v>
      </c>
      <c r="D93" s="2" t="n">
        <v>0</v>
      </c>
      <c r="E93" s="2" t="n">
        <v>1</v>
      </c>
      <c r="F93" s="2" t="n">
        <v>1</v>
      </c>
      <c r="G93" s="2" t="n">
        <v>1</v>
      </c>
      <c r="H93" s="2" t="n">
        <f aca="false">0.35 * E93 + 0.2 * C93 + 0.2 * G93 + 0.15 * F93 + 0.1 * D93</f>
        <v>0.7</v>
      </c>
      <c r="I93" s="2" t="n">
        <v>0</v>
      </c>
      <c r="J93" s="2" t="n">
        <v>0</v>
      </c>
      <c r="K93" s="2" t="n">
        <v>1</v>
      </c>
      <c r="L93" s="2" t="n">
        <v>1</v>
      </c>
      <c r="M93" s="2" t="n">
        <v>1</v>
      </c>
      <c r="N93" s="2" t="n">
        <v>1</v>
      </c>
      <c r="O93" s="2" t="n">
        <f aca="false">0.3*L93 + 0.25 * M93+0.2 * J93 + 0.15*N93 + 0.1 * I93</f>
        <v>0.7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1</v>
      </c>
      <c r="U93" s="2" t="n">
        <v>1</v>
      </c>
      <c r="V93" s="3" t="n">
        <f aca="false">0.3 * Q93 + 0.25 * S93 + 0.2 * T93 + 0.15 * U93 + 0.1 * P93</f>
        <v>0.35</v>
      </c>
      <c r="W93" s="3" t="n">
        <f aca="false">H93*O93</f>
        <v>0.49</v>
      </c>
      <c r="X93" s="3" t="n">
        <f aca="false">H93*V93</f>
        <v>0.245</v>
      </c>
      <c r="Y93" s="3" t="n">
        <f aca="false">O93*V93</f>
        <v>0.245</v>
      </c>
      <c r="Z93" s="3" t="n">
        <f aca="false">H93*O93*V93</f>
        <v>0.1715</v>
      </c>
    </row>
    <row r="94" customFormat="false" ht="13.8" hidden="false" customHeight="false" outlineLevel="0" collapsed="false">
      <c r="A94" s="1" t="n">
        <v>45536</v>
      </c>
      <c r="B94" s="2" t="n">
        <v>2129.7619047619</v>
      </c>
      <c r="C94" s="2" t="n">
        <v>0</v>
      </c>
      <c r="D94" s="2" t="n">
        <v>0</v>
      </c>
      <c r="E94" s="2" t="n">
        <v>1</v>
      </c>
      <c r="F94" s="2" t="n">
        <v>1</v>
      </c>
      <c r="G94" s="2" t="n">
        <v>1</v>
      </c>
      <c r="H94" s="2" t="n">
        <f aca="false">0.35 * E94 + 0.2 * C94 + 0.2 * G94 + 0.15 * F94 + 0.1 * D94</f>
        <v>0.7</v>
      </c>
      <c r="I94" s="2" t="n">
        <v>0</v>
      </c>
      <c r="J94" s="2" t="n">
        <v>0</v>
      </c>
      <c r="K94" s="2" t="n">
        <v>1</v>
      </c>
      <c r="L94" s="2" t="n">
        <v>1</v>
      </c>
      <c r="M94" s="2" t="n">
        <v>1</v>
      </c>
      <c r="N94" s="2" t="n">
        <v>1</v>
      </c>
      <c r="O94" s="2" t="n">
        <f aca="false">0.3*L94 + 0.25 * M94+0.2 * J94 + 0.15*N94 + 0.1 * I94</f>
        <v>0.7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1</v>
      </c>
      <c r="U94" s="2" t="n">
        <v>1</v>
      </c>
      <c r="V94" s="3" t="n">
        <f aca="false">0.3 * Q94 + 0.25 * S94 + 0.2 * T94 + 0.15 * U94 + 0.1 * P94</f>
        <v>0.35</v>
      </c>
      <c r="W94" s="3" t="n">
        <f aca="false">H94*O94</f>
        <v>0.49</v>
      </c>
      <c r="X94" s="3" t="n">
        <f aca="false">H94*V94</f>
        <v>0.245</v>
      </c>
      <c r="Y94" s="3" t="n">
        <f aca="false">O94*V94</f>
        <v>0.245</v>
      </c>
      <c r="Z94" s="3" t="n">
        <f aca="false">H94*O94*V94</f>
        <v>0.1715</v>
      </c>
    </row>
    <row r="95" customFormat="false" ht="13.8" hidden="false" customHeight="false" outlineLevel="0" collapsed="false">
      <c r="A95" s="1" t="n">
        <v>45566</v>
      </c>
      <c r="B95" s="2" t="n">
        <v>2122.28260869565</v>
      </c>
      <c r="C95" s="2" t="n">
        <v>0</v>
      </c>
      <c r="D95" s="2" t="n">
        <v>0</v>
      </c>
      <c r="E95" s="2" t="n">
        <v>1</v>
      </c>
      <c r="F95" s="2" t="n">
        <v>1</v>
      </c>
      <c r="G95" s="2" t="n">
        <v>1</v>
      </c>
      <c r="H95" s="2" t="n">
        <f aca="false">0.35 * E95 + 0.2 * C95 + 0.2 * G95 + 0.15 * F95 + 0.1 * D95</f>
        <v>0.7</v>
      </c>
      <c r="I95" s="2" t="n">
        <v>0</v>
      </c>
      <c r="J95" s="2" t="n">
        <v>0</v>
      </c>
      <c r="K95" s="2" t="n">
        <v>1</v>
      </c>
      <c r="L95" s="2" t="n">
        <v>1</v>
      </c>
      <c r="M95" s="2" t="n">
        <v>1</v>
      </c>
      <c r="N95" s="2" t="n">
        <v>1</v>
      </c>
      <c r="O95" s="2" t="n">
        <f aca="false">0.3*L95 + 0.25 * M95+0.2 * J95 + 0.15*N95 + 0.1 * I95</f>
        <v>0.7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1</v>
      </c>
      <c r="U95" s="2" t="n">
        <v>1</v>
      </c>
      <c r="V95" s="3" t="n">
        <f aca="false">0.3 * Q95 + 0.25 * S95 + 0.2 * T95 + 0.15 * U95 + 0.1 * P95</f>
        <v>0.35</v>
      </c>
      <c r="W95" s="3" t="n">
        <f aca="false">H95*O95</f>
        <v>0.49</v>
      </c>
      <c r="X95" s="3" t="n">
        <f aca="false">H95*V95</f>
        <v>0.245</v>
      </c>
      <c r="Y95" s="3" t="n">
        <f aca="false">O95*V95</f>
        <v>0.245</v>
      </c>
      <c r="Z95" s="3" t="n">
        <f aca="false">H95*O95*V95</f>
        <v>0.1715</v>
      </c>
    </row>
    <row r="96" customFormat="false" ht="13.8" hidden="false" customHeight="false" outlineLevel="0" collapsed="false">
      <c r="A96" s="1" t="n">
        <v>45597</v>
      </c>
      <c r="B96" s="2" t="n">
        <v>2081.54761904761</v>
      </c>
      <c r="C96" s="2" t="n">
        <v>0</v>
      </c>
      <c r="D96" s="2" t="n">
        <v>0</v>
      </c>
      <c r="E96" s="2" t="n">
        <v>1</v>
      </c>
      <c r="F96" s="2" t="n">
        <v>1</v>
      </c>
      <c r="G96" s="2" t="n">
        <v>1</v>
      </c>
      <c r="H96" s="2" t="n">
        <f aca="false">0.35 * E96 + 0.2 * C96 + 0.2 * G96 + 0.15 * F96 + 0.1 * D96</f>
        <v>0.7</v>
      </c>
      <c r="I96" s="2" t="n">
        <v>0</v>
      </c>
      <c r="J96" s="2" t="n">
        <v>0</v>
      </c>
      <c r="K96" s="2" t="n">
        <v>1</v>
      </c>
      <c r="L96" s="2" t="n">
        <v>1</v>
      </c>
      <c r="M96" s="2" t="n">
        <v>1</v>
      </c>
      <c r="N96" s="2" t="n">
        <v>1</v>
      </c>
      <c r="O96" s="2" t="n">
        <f aca="false">0.3*L96 + 0.25 * M96+0.2 * J96 + 0.15*N96 + 0.1 * I96</f>
        <v>0.7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1</v>
      </c>
      <c r="U96" s="2" t="n">
        <v>1</v>
      </c>
      <c r="V96" s="3" t="n">
        <f aca="false">0.3 * Q96 + 0.25 * S96 + 0.2 * T96 + 0.15 * U96 + 0.1 * P96</f>
        <v>0.35</v>
      </c>
      <c r="W96" s="3" t="n">
        <f aca="false">H96*O96</f>
        <v>0.49</v>
      </c>
      <c r="X96" s="3" t="n">
        <f aca="false">H96*V96</f>
        <v>0.245</v>
      </c>
      <c r="Y96" s="3" t="n">
        <f aca="false">O96*V96</f>
        <v>0.245</v>
      </c>
      <c r="Z96" s="3" t="n">
        <f aca="false">H96*O96*V96</f>
        <v>0.1715</v>
      </c>
    </row>
    <row r="97" customFormat="false" ht="13.8" hidden="false" customHeight="false" outlineLevel="0" collapsed="false">
      <c r="A97" s="1" t="n">
        <v>45627</v>
      </c>
      <c r="B97" s="2" t="n">
        <v>2463.06818181818</v>
      </c>
      <c r="C97" s="2" t="n">
        <v>0</v>
      </c>
      <c r="D97" s="2" t="n">
        <v>0</v>
      </c>
      <c r="E97" s="2" t="n">
        <v>1</v>
      </c>
      <c r="F97" s="2" t="n">
        <v>1</v>
      </c>
      <c r="G97" s="2" t="n">
        <v>1</v>
      </c>
      <c r="H97" s="2" t="n">
        <f aca="false">0.35 * E97 + 0.2 * C97 + 0.2 * G97 + 0.15 * F97 + 0.1 * D97</f>
        <v>0.7</v>
      </c>
      <c r="I97" s="2" t="n">
        <v>0</v>
      </c>
      <c r="J97" s="2" t="n">
        <v>0</v>
      </c>
      <c r="K97" s="2" t="n">
        <v>1</v>
      </c>
      <c r="L97" s="2" t="n">
        <v>1</v>
      </c>
      <c r="M97" s="2" t="n">
        <v>1</v>
      </c>
      <c r="N97" s="2" t="n">
        <v>1</v>
      </c>
      <c r="O97" s="2" t="n">
        <f aca="false">0.3*L97 + 0.25 * M97+0.2 * J97 + 0.15*N97 + 0.1 * I97</f>
        <v>0.7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1</v>
      </c>
      <c r="U97" s="2" t="n">
        <v>1</v>
      </c>
      <c r="V97" s="3" t="n">
        <f aca="false">0.3 * Q97 + 0.25 * S97 + 0.2 * T97 + 0.15 * U97 + 0.1 * P97</f>
        <v>0.35</v>
      </c>
      <c r="W97" s="3" t="n">
        <f aca="false">H97*O97</f>
        <v>0.49</v>
      </c>
      <c r="X97" s="3" t="n">
        <f aca="false">H97*V97</f>
        <v>0.245</v>
      </c>
      <c r="Y97" s="3" t="n">
        <f aca="false">O97*V97</f>
        <v>0.245</v>
      </c>
      <c r="Z97" s="3" t="n">
        <f aca="false">H97*O97*V97</f>
        <v>0.1715</v>
      </c>
    </row>
    <row r="98" customFormat="false" ht="13.8" hidden="false" customHeight="false" outlineLevel="0" collapsed="false">
      <c r="A98" s="1" t="n">
        <v>45658</v>
      </c>
      <c r="B98" s="2" t="n">
        <v>2452.17391304347</v>
      </c>
      <c r="C98" s="2" t="n">
        <v>0</v>
      </c>
      <c r="D98" s="2" t="n">
        <v>0</v>
      </c>
      <c r="E98" s="2" t="n">
        <v>1</v>
      </c>
      <c r="F98" s="2" t="n">
        <v>1</v>
      </c>
      <c r="G98" s="2" t="n">
        <v>1</v>
      </c>
      <c r="H98" s="2" t="n">
        <f aca="false">0.35 * E98 + 0.2 * C98 + 0.2 * G98 + 0.15 * F98 + 0.1 * D98</f>
        <v>0.7</v>
      </c>
      <c r="I98" s="2" t="n">
        <v>0</v>
      </c>
      <c r="J98" s="2" t="n">
        <v>0</v>
      </c>
      <c r="K98" s="2" t="n">
        <v>1</v>
      </c>
      <c r="L98" s="2" t="n">
        <v>1</v>
      </c>
      <c r="M98" s="2" t="n">
        <v>1</v>
      </c>
      <c r="N98" s="2" t="n">
        <v>1</v>
      </c>
      <c r="O98" s="2" t="n">
        <f aca="false">0.3*L98 + 0.25 * M98+0.2 * J98 + 0.15*N98 + 0.1 * I98</f>
        <v>0.7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1</v>
      </c>
      <c r="U98" s="2" t="n">
        <v>1</v>
      </c>
      <c r="V98" s="3" t="n">
        <f aca="false">0.3 * Q98 + 0.25 * S98 + 0.2 * T98 + 0.15 * U98 + 0.1 * P98</f>
        <v>0.35</v>
      </c>
      <c r="W98" s="3" t="n">
        <f aca="false">H98*O98</f>
        <v>0.49</v>
      </c>
      <c r="X98" s="3" t="n">
        <f aca="false">H98*V98</f>
        <v>0.245</v>
      </c>
      <c r="Y98" s="3" t="n">
        <f aca="false">O98*V98</f>
        <v>0.245</v>
      </c>
      <c r="Z98" s="3" t="n">
        <f aca="false">H98*O98*V98</f>
        <v>0.1715</v>
      </c>
    </row>
    <row r="99" customFormat="false" ht="13.8" hidden="false" customHeight="false" outlineLevel="0" collapsed="false">
      <c r="A99" s="1" t="n">
        <v>45689</v>
      </c>
      <c r="B99" s="2" t="n">
        <v>1956.25</v>
      </c>
      <c r="C99" s="2" t="n">
        <v>0</v>
      </c>
      <c r="D99" s="2" t="n">
        <v>0</v>
      </c>
      <c r="E99" s="2" t="n">
        <v>1</v>
      </c>
      <c r="F99" s="2" t="n">
        <v>1</v>
      </c>
      <c r="G99" s="2" t="n">
        <v>1</v>
      </c>
      <c r="H99" s="2" t="n">
        <f aca="false">0.35 * E99 + 0.2 * C99 + 0.2 * G99 + 0.15 * F99 + 0.1 * D99</f>
        <v>0.7</v>
      </c>
      <c r="I99" s="2" t="n">
        <v>0</v>
      </c>
      <c r="J99" s="2" t="n">
        <v>0</v>
      </c>
      <c r="K99" s="2" t="n">
        <v>1</v>
      </c>
      <c r="L99" s="2" t="n">
        <v>1</v>
      </c>
      <c r="M99" s="2" t="n">
        <v>1</v>
      </c>
      <c r="N99" s="2" t="n">
        <v>1</v>
      </c>
      <c r="O99" s="2" t="n">
        <f aca="false">0.3*L99 + 0.25 * M99+0.2 * J99 + 0.15*N99 + 0.1 * I99</f>
        <v>0.7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1</v>
      </c>
      <c r="U99" s="2" t="n">
        <v>1</v>
      </c>
      <c r="V99" s="3" t="n">
        <f aca="false">0.3 * Q99 + 0.25 * S99 + 0.2 * T99 + 0.15 * U99 + 0.1 * P99</f>
        <v>0.35</v>
      </c>
      <c r="W99" s="3" t="n">
        <f aca="false">H99*O99</f>
        <v>0.49</v>
      </c>
      <c r="X99" s="3" t="n">
        <f aca="false">H99*V99</f>
        <v>0.245</v>
      </c>
      <c r="Y99" s="3" t="n">
        <f aca="false">O99*V99</f>
        <v>0.245</v>
      </c>
      <c r="Z99" s="3" t="n">
        <f aca="false">H99*O99*V99</f>
        <v>0.1715</v>
      </c>
    </row>
    <row r="100" customFormat="false" ht="13.8" hidden="false" customHeight="false" outlineLevel="0" collapsed="false">
      <c r="A100" s="1" t="n">
        <v>45717</v>
      </c>
      <c r="B100" s="2" t="n">
        <v>2073.80952380952</v>
      </c>
      <c r="C100" s="2" t="n">
        <v>0</v>
      </c>
      <c r="D100" s="2" t="n">
        <v>0</v>
      </c>
      <c r="E100" s="2" t="n">
        <v>1</v>
      </c>
      <c r="F100" s="2" t="n">
        <v>1</v>
      </c>
      <c r="G100" s="2" t="n">
        <v>1</v>
      </c>
      <c r="H100" s="2" t="n">
        <f aca="false">0.35 * E100 + 0.2 * C100 + 0.2 * G100 + 0.15 * F100 + 0.1 * D100</f>
        <v>0.7</v>
      </c>
      <c r="I100" s="2" t="n">
        <v>0</v>
      </c>
      <c r="J100" s="2" t="n">
        <v>0</v>
      </c>
      <c r="K100" s="2" t="n">
        <v>1</v>
      </c>
      <c r="L100" s="2" t="n">
        <v>1</v>
      </c>
      <c r="M100" s="2" t="n">
        <v>1</v>
      </c>
      <c r="N100" s="2" t="n">
        <v>1</v>
      </c>
      <c r="O100" s="2" t="n">
        <f aca="false">0.3*L100 + 0.25 * M100+0.2 * J100 + 0.15*N100 + 0.1 * I100</f>
        <v>0.7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1</v>
      </c>
      <c r="U100" s="2" t="n">
        <v>1</v>
      </c>
      <c r="V100" s="3" t="n">
        <f aca="false">0.3 * Q100 + 0.25 * S100 + 0.2 * T100 + 0.15 * U100 + 0.1 * P100</f>
        <v>0.35</v>
      </c>
      <c r="W100" s="3" t="n">
        <f aca="false">H100*O100</f>
        <v>0.49</v>
      </c>
      <c r="X100" s="3" t="n">
        <f aca="false">H100*V100</f>
        <v>0.245</v>
      </c>
      <c r="Y100" s="3" t="n">
        <f aca="false">O100*V100</f>
        <v>0.245</v>
      </c>
      <c r="Z100" s="3" t="n">
        <f aca="false">H100*O100*V100</f>
        <v>0.1715</v>
      </c>
    </row>
    <row r="101" customFormat="false" ht="13.8" hidden="false" customHeight="false" outlineLevel="0" collapsed="false">
      <c r="A101" s="1" t="n">
        <v>45748</v>
      </c>
      <c r="B101" s="2" t="n">
        <v>2047.72727272727</v>
      </c>
      <c r="C101" s="2" t="n">
        <v>0</v>
      </c>
      <c r="D101" s="2" t="n">
        <v>0</v>
      </c>
      <c r="E101" s="2" t="n">
        <v>1</v>
      </c>
      <c r="F101" s="2" t="n">
        <v>1</v>
      </c>
      <c r="G101" s="2" t="n">
        <v>1</v>
      </c>
      <c r="H101" s="2" t="n">
        <f aca="false">0.35 * E101 + 0.2 * C101 + 0.2 * G101 + 0.15 * F101 + 0.1 * D101</f>
        <v>0.7</v>
      </c>
      <c r="I101" s="2" t="n">
        <v>0</v>
      </c>
      <c r="J101" s="2" t="n">
        <v>0</v>
      </c>
      <c r="K101" s="2" t="n">
        <v>1</v>
      </c>
      <c r="L101" s="2" t="n">
        <v>1</v>
      </c>
      <c r="M101" s="2" t="n">
        <v>1</v>
      </c>
      <c r="N101" s="2" t="n">
        <v>1</v>
      </c>
      <c r="O101" s="2" t="n">
        <f aca="false">0.3*L101 + 0.25 * M101+0.2 * J101 + 0.15*N101 + 0.1 * I101</f>
        <v>0.7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1</v>
      </c>
      <c r="U101" s="2" t="n">
        <v>1</v>
      </c>
      <c r="V101" s="3" t="n">
        <f aca="false">0.3 * Q101 + 0.25 * S101 + 0.2 * T101 + 0.15 * U101 + 0.1 * P101</f>
        <v>0.35</v>
      </c>
      <c r="W101" s="3" t="n">
        <f aca="false">H101*O101</f>
        <v>0.49</v>
      </c>
      <c r="X101" s="3" t="n">
        <f aca="false">H101*V101</f>
        <v>0.245</v>
      </c>
      <c r="Y101" s="3" t="n">
        <f aca="false">O101*V101</f>
        <v>0.245</v>
      </c>
      <c r="Z101" s="3" t="n">
        <f aca="false">H101*O101*V101</f>
        <v>0.1715</v>
      </c>
    </row>
    <row r="102" customFormat="false" ht="13.8" hidden="false" customHeight="false" outlineLevel="0" collapsed="false">
      <c r="A102" s="1" t="n">
        <v>45778</v>
      </c>
      <c r="B102" s="2" t="n">
        <v>2001.5909090909</v>
      </c>
      <c r="C102" s="2" t="n">
        <v>0</v>
      </c>
      <c r="D102" s="2" t="n">
        <v>0</v>
      </c>
      <c r="E102" s="2" t="n">
        <v>1</v>
      </c>
      <c r="F102" s="2" t="n">
        <v>1</v>
      </c>
      <c r="G102" s="2" t="n">
        <v>1</v>
      </c>
      <c r="H102" s="2" t="n">
        <f aca="false">0.35 * E102 + 0.2 * C102 + 0.2 * G102 + 0.15 * F102 + 0.1 * D102</f>
        <v>0.7</v>
      </c>
      <c r="I102" s="2" t="n">
        <v>0</v>
      </c>
      <c r="J102" s="2" t="n">
        <v>0</v>
      </c>
      <c r="K102" s="2" t="n">
        <v>1</v>
      </c>
      <c r="L102" s="2" t="n">
        <v>1</v>
      </c>
      <c r="M102" s="2" t="n">
        <v>1</v>
      </c>
      <c r="N102" s="2" t="n">
        <v>1</v>
      </c>
      <c r="O102" s="2" t="n">
        <f aca="false">0.3*L102 + 0.25 * M102+0.2 * J102 + 0.15*N102 + 0.1 * I102</f>
        <v>0.7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1</v>
      </c>
      <c r="U102" s="2" t="n">
        <v>1</v>
      </c>
      <c r="V102" s="3" t="n">
        <f aca="false">0.3 * Q102 + 0.25 * S102 + 0.2 * T102 + 0.15 * U102 + 0.1 * P102</f>
        <v>0.35</v>
      </c>
      <c r="W102" s="3" t="n">
        <f aca="false">H102*O102</f>
        <v>0.49</v>
      </c>
      <c r="X102" s="3" t="n">
        <f aca="false">H102*V102</f>
        <v>0.245</v>
      </c>
      <c r="Y102" s="3" t="n">
        <f aca="false">O102*V102</f>
        <v>0.245</v>
      </c>
      <c r="Z102" s="3" t="n">
        <f aca="false">H102*O102*V102</f>
        <v>0.1715</v>
      </c>
    </row>
    <row r="103" customFormat="false" ht="13.8" hidden="false" customHeight="false" outlineLevel="0" collapsed="false">
      <c r="A103" s="1" t="n">
        <v>45809</v>
      </c>
      <c r="B103" s="2" t="n">
        <v>2034.64285714285</v>
      </c>
      <c r="C103" s="2" t="n">
        <v>0</v>
      </c>
      <c r="D103" s="2" t="n">
        <v>0</v>
      </c>
      <c r="E103" s="2" t="n">
        <v>1</v>
      </c>
      <c r="F103" s="2" t="n">
        <v>1</v>
      </c>
      <c r="G103" s="2" t="n">
        <v>1</v>
      </c>
      <c r="H103" s="2" t="n">
        <f aca="false">0.35 * E103 + 0.2 * C103 + 0.2 * G103 + 0.15 * F103 + 0.1 * D103</f>
        <v>0.7</v>
      </c>
      <c r="I103" s="2" t="n">
        <v>0</v>
      </c>
      <c r="J103" s="2" t="n">
        <v>0</v>
      </c>
      <c r="K103" s="2" t="n">
        <v>1</v>
      </c>
      <c r="L103" s="2" t="n">
        <v>1</v>
      </c>
      <c r="M103" s="2" t="n">
        <v>1</v>
      </c>
      <c r="N103" s="2" t="n">
        <v>1</v>
      </c>
      <c r="O103" s="2" t="n">
        <f aca="false">0.3*L103 + 0.25 * M103+0.2 * J103 + 0.15*N103 + 0.1 * I103</f>
        <v>0.7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1</v>
      </c>
      <c r="U103" s="2" t="n">
        <v>1</v>
      </c>
      <c r="V103" s="3" t="n">
        <f aca="false">0.3 * Q103 + 0.25 * S103 + 0.2 * T103 + 0.15 * U103 + 0.1 * P103</f>
        <v>0.35</v>
      </c>
      <c r="W103" s="3" t="n">
        <f aca="false">H103*O103</f>
        <v>0.49</v>
      </c>
      <c r="X103" s="3" t="n">
        <f aca="false">H103*V103</f>
        <v>0.245</v>
      </c>
      <c r="Y103" s="3" t="n">
        <f aca="false">O103*V103</f>
        <v>0.245</v>
      </c>
      <c r="Z103" s="3" t="n">
        <f aca="false">H103*O103*V103</f>
        <v>0.1715</v>
      </c>
    </row>
    <row r="104" customFormat="false" ht="13.8" hidden="false" customHeight="false" outlineLevel="0" collapsed="false">
      <c r="A104" s="1" t="n">
        <v>45839</v>
      </c>
      <c r="B104" s="2" t="n">
        <v>2030.65217391304</v>
      </c>
      <c r="C104" s="2" t="n">
        <v>0</v>
      </c>
      <c r="D104" s="2" t="n">
        <v>0</v>
      </c>
      <c r="E104" s="2" t="n">
        <v>1</v>
      </c>
      <c r="F104" s="2" t="n">
        <v>1</v>
      </c>
      <c r="G104" s="2" t="n">
        <v>1</v>
      </c>
      <c r="H104" s="2" t="n">
        <f aca="false">0.35 * E104 + 0.2 * C104 + 0.2 * G104 + 0.15 * F104 + 0.1 * D104</f>
        <v>0.7</v>
      </c>
      <c r="I104" s="2" t="n">
        <v>0</v>
      </c>
      <c r="J104" s="2" t="n">
        <v>0</v>
      </c>
      <c r="K104" s="2" t="n">
        <v>1</v>
      </c>
      <c r="L104" s="2" t="n">
        <v>1</v>
      </c>
      <c r="M104" s="2" t="n">
        <v>1</v>
      </c>
      <c r="N104" s="2" t="n">
        <v>1</v>
      </c>
      <c r="O104" s="2" t="n">
        <f aca="false">0.3*L104 + 0.25 * M104+0.2 * J104 + 0.15*N104 + 0.1 * I104</f>
        <v>0.7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1</v>
      </c>
      <c r="U104" s="2" t="n">
        <v>1</v>
      </c>
      <c r="V104" s="3" t="n">
        <f aca="false">0.3 * Q104 + 0.25 * S104 + 0.2 * T104 + 0.15 * U104 + 0.1 * P104</f>
        <v>0.35</v>
      </c>
      <c r="W104" s="3" t="n">
        <f aca="false">H104*O104</f>
        <v>0.49</v>
      </c>
      <c r="X104" s="3" t="n">
        <f aca="false">H104*V104</f>
        <v>0.245</v>
      </c>
      <c r="Y104" s="3" t="n">
        <f aca="false">O104*V104</f>
        <v>0.245</v>
      </c>
      <c r="Z104" s="3" t="n">
        <f aca="false">H104*O104*V104</f>
        <v>0.1715</v>
      </c>
    </row>
    <row r="105" customFormat="false" ht="13.8" hidden="false" customHeight="false" outlineLevel="0" collapsed="false">
      <c r="A105" s="1" t="n">
        <v>45870</v>
      </c>
      <c r="B105" s="2" t="n">
        <v>2099.52380952381</v>
      </c>
      <c r="C105" s="2" t="n">
        <v>0</v>
      </c>
      <c r="D105" s="2" t="n">
        <v>0</v>
      </c>
      <c r="E105" s="2" t="n">
        <v>1</v>
      </c>
      <c r="F105" s="2" t="n">
        <v>1</v>
      </c>
      <c r="G105" s="2" t="n">
        <v>1</v>
      </c>
      <c r="H105" s="2" t="n">
        <f aca="false">0.35 * E105 + 0.2 * C105 + 0.2 * G105 + 0.15 * F105 + 0.1 * D105</f>
        <v>0.7</v>
      </c>
      <c r="I105" s="2" t="n">
        <v>0</v>
      </c>
      <c r="J105" s="2" t="n">
        <v>0</v>
      </c>
      <c r="K105" s="2" t="n">
        <v>1</v>
      </c>
      <c r="L105" s="2" t="n">
        <v>1</v>
      </c>
      <c r="M105" s="2" t="n">
        <v>1</v>
      </c>
      <c r="N105" s="2" t="n">
        <v>1</v>
      </c>
      <c r="O105" s="2" t="n">
        <f aca="false">0.3*L105 + 0.25 * M105+0.2 * J105 + 0.15*N105 + 0.1 * I105</f>
        <v>0.7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1</v>
      </c>
      <c r="U105" s="2" t="n">
        <v>1</v>
      </c>
      <c r="V105" s="3" t="n">
        <f aca="false">0.3 * Q105 + 0.25 * S105 + 0.2 * T105 + 0.15 * U105 + 0.1 * P105</f>
        <v>0.35</v>
      </c>
      <c r="W105" s="3" t="n">
        <f aca="false">H105*O105</f>
        <v>0.49</v>
      </c>
      <c r="X105" s="3" t="n">
        <f aca="false">H105*V105</f>
        <v>0.245</v>
      </c>
      <c r="Y105" s="3" t="n">
        <f aca="false">O105*V105</f>
        <v>0.245</v>
      </c>
      <c r="Z105" s="3" t="n">
        <f aca="false">H105*O105*V105</f>
        <v>0.1715</v>
      </c>
    </row>
    <row r="106" customFormat="false" ht="13.8" hidden="false" customHeight="false" outlineLevel="0" collapsed="false">
      <c r="A106" s="1" t="n">
        <v>45901</v>
      </c>
      <c r="B106" s="2" t="n">
        <v>2089.0909090909</v>
      </c>
      <c r="C106" s="2" t="n">
        <v>0</v>
      </c>
      <c r="D106" s="2" t="n">
        <v>0</v>
      </c>
      <c r="E106" s="2" t="n">
        <v>1</v>
      </c>
      <c r="F106" s="2" t="n">
        <v>1</v>
      </c>
      <c r="G106" s="2" t="n">
        <v>1</v>
      </c>
      <c r="H106" s="2" t="n">
        <f aca="false">0.35 * E106 + 0.2 * C106 + 0.2 * G106 + 0.15 * F106 + 0.1 * D106</f>
        <v>0.7</v>
      </c>
      <c r="I106" s="2" t="n">
        <v>0</v>
      </c>
      <c r="J106" s="2" t="n">
        <v>0</v>
      </c>
      <c r="K106" s="2" t="n">
        <v>1</v>
      </c>
      <c r="L106" s="2" t="n">
        <v>1</v>
      </c>
      <c r="M106" s="2" t="n">
        <v>1</v>
      </c>
      <c r="N106" s="2" t="n">
        <v>1</v>
      </c>
      <c r="O106" s="2" t="n">
        <f aca="false">0.3*L106 + 0.25 * M106+0.2 * J106 + 0.15*N106 + 0.1 * I106</f>
        <v>0.7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1</v>
      </c>
      <c r="U106" s="2" t="n">
        <v>1</v>
      </c>
      <c r="V106" s="3" t="n">
        <f aca="false">0.3 * Q106 + 0.25 * S106 + 0.2 * T106 + 0.15 * U106 + 0.1 * P106</f>
        <v>0.35</v>
      </c>
      <c r="W106" s="3" t="n">
        <f aca="false">H106*O106</f>
        <v>0.49</v>
      </c>
      <c r="X106" s="3" t="n">
        <f aca="false">H106*V106</f>
        <v>0.245</v>
      </c>
      <c r="Y106" s="3" t="n">
        <f aca="false">O106*V106</f>
        <v>0.245</v>
      </c>
      <c r="Z106" s="3" t="n">
        <f aca="false">H106*O106*V106</f>
        <v>0.1715</v>
      </c>
    </row>
    <row r="107" customFormat="false" ht="13.8" hidden="false" customHeight="false" outlineLevel="0" collapsed="false">
      <c r="A107" s="1" t="n">
        <v>45931</v>
      </c>
      <c r="B107" s="2" t="n">
        <v>2071.41304347826</v>
      </c>
      <c r="C107" s="2" t="n">
        <v>0</v>
      </c>
      <c r="D107" s="2" t="n">
        <v>0</v>
      </c>
      <c r="E107" s="2" t="n">
        <v>1</v>
      </c>
      <c r="F107" s="2" t="n">
        <v>1</v>
      </c>
      <c r="G107" s="2" t="n">
        <v>1</v>
      </c>
      <c r="H107" s="2" t="n">
        <f aca="false">0.35 * E107 + 0.2 * C107 + 0.2 * G107 + 0.15 * F107 + 0.1 * D107</f>
        <v>0.7</v>
      </c>
      <c r="I107" s="2" t="n">
        <v>0</v>
      </c>
      <c r="J107" s="2" t="n">
        <v>0</v>
      </c>
      <c r="K107" s="2" t="n">
        <v>1</v>
      </c>
      <c r="L107" s="2" t="n">
        <v>1</v>
      </c>
      <c r="M107" s="2" t="n">
        <v>1</v>
      </c>
      <c r="N107" s="2" t="n">
        <v>1</v>
      </c>
      <c r="O107" s="2" t="n">
        <f aca="false">0.3*L107 + 0.25 * M107+0.2 * J107 + 0.15*N107 + 0.1 * I107</f>
        <v>0.7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1</v>
      </c>
      <c r="U107" s="2" t="n">
        <v>1</v>
      </c>
      <c r="V107" s="3" t="n">
        <f aca="false">0.3 * Q107 + 0.25 * S107 + 0.2 * T107 + 0.15 * U107 + 0.1 * P107</f>
        <v>0.35</v>
      </c>
      <c r="W107" s="3" t="n">
        <f aca="false">H107*O107</f>
        <v>0.49</v>
      </c>
      <c r="X107" s="3" t="n">
        <f aca="false">H107*V107</f>
        <v>0.245</v>
      </c>
      <c r="Y107" s="3" t="n">
        <f aca="false">O107*V107</f>
        <v>0.245</v>
      </c>
      <c r="Z107" s="3" t="n">
        <f aca="false">H107*O107*V107</f>
        <v>0.1715</v>
      </c>
    </row>
    <row r="108" customFormat="false" ht="13.8" hidden="false" customHeight="false" outlineLevel="0" collapsed="false">
      <c r="A108" s="1" t="n">
        <v>45962</v>
      </c>
      <c r="B108" s="2" t="n">
        <v>2108.375</v>
      </c>
      <c r="C108" s="2" t="n">
        <v>0</v>
      </c>
      <c r="D108" s="2" t="n">
        <v>0</v>
      </c>
      <c r="E108" s="2" t="n">
        <v>1</v>
      </c>
      <c r="F108" s="2" t="n">
        <v>1</v>
      </c>
      <c r="G108" s="2" t="n">
        <v>1</v>
      </c>
      <c r="H108" s="2" t="n">
        <f aca="false">0.35 * E108 + 0.2 * C108 + 0.2 * G108 + 0.15 * F108 + 0.1 * D108</f>
        <v>0.7</v>
      </c>
      <c r="I108" s="2" t="n">
        <v>0</v>
      </c>
      <c r="J108" s="2" t="n">
        <v>0</v>
      </c>
      <c r="K108" s="2" t="n">
        <v>1</v>
      </c>
      <c r="L108" s="2" t="n">
        <v>1</v>
      </c>
      <c r="M108" s="2" t="n">
        <v>1</v>
      </c>
      <c r="N108" s="2" t="n">
        <v>1</v>
      </c>
      <c r="O108" s="2" t="n">
        <f aca="false">0.3*L108 + 0.25 * M108+0.2 * J108 + 0.15*N108 + 0.1 * I108</f>
        <v>0.7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1</v>
      </c>
      <c r="U108" s="2" t="n">
        <v>1</v>
      </c>
      <c r="V108" s="3" t="n">
        <f aca="false">0.3 * Q108 + 0.25 * S108 + 0.2 * T108 + 0.15 * U108 + 0.1 * P108</f>
        <v>0.35</v>
      </c>
      <c r="W108" s="3" t="n">
        <f aca="false">H108*O108</f>
        <v>0.49</v>
      </c>
      <c r="X108" s="3" t="n">
        <f aca="false">H108*V108</f>
        <v>0.245</v>
      </c>
      <c r="Y108" s="3" t="n">
        <f aca="false">O108*V108</f>
        <v>0.245</v>
      </c>
      <c r="Z108" s="3" t="n">
        <f aca="false">H108*O108*V108</f>
        <v>0.1715</v>
      </c>
    </row>
    <row r="109" customFormat="false" ht="13.8" hidden="false" customHeight="false" outlineLevel="0" collapsed="false">
      <c r="A109" s="1" t="n">
        <v>45992</v>
      </c>
      <c r="B109" s="2" t="n">
        <v>2220</v>
      </c>
      <c r="C109" s="2" t="n">
        <v>0</v>
      </c>
      <c r="D109" s="2" t="n">
        <v>0</v>
      </c>
      <c r="E109" s="2" t="n">
        <v>1</v>
      </c>
      <c r="F109" s="2" t="n">
        <v>1</v>
      </c>
      <c r="G109" s="2" t="n">
        <v>1</v>
      </c>
      <c r="H109" s="2" t="n">
        <f aca="false">0.35 * E109 + 0.2 * C109 + 0.2 * G109 + 0.15 * F109 + 0.1 * D109</f>
        <v>0.7</v>
      </c>
      <c r="I109" s="2" t="n">
        <v>0</v>
      </c>
      <c r="J109" s="2" t="n">
        <v>0</v>
      </c>
      <c r="K109" s="2" t="n">
        <v>1</v>
      </c>
      <c r="L109" s="2" t="n">
        <v>1</v>
      </c>
      <c r="M109" s="2" t="n">
        <v>1</v>
      </c>
      <c r="N109" s="2" t="n">
        <v>1</v>
      </c>
      <c r="O109" s="2" t="n">
        <f aca="false">0.3*L109 + 0.25 * M109+0.2 * J109 + 0.15*N109 + 0.1 * I109</f>
        <v>0.7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1</v>
      </c>
      <c r="U109" s="2" t="n">
        <v>1</v>
      </c>
      <c r="V109" s="3" t="n">
        <f aca="false">0.3 * Q109 + 0.25 * S109 + 0.2 * T109 + 0.15 * U109 + 0.1 * P109</f>
        <v>0.35</v>
      </c>
      <c r="W109" s="3" t="n">
        <f aca="false">H109*O109</f>
        <v>0.49</v>
      </c>
      <c r="X109" s="3" t="n">
        <f aca="false">H109*V109</f>
        <v>0.245</v>
      </c>
      <c r="Y109" s="3" t="n">
        <f aca="false">O109*V109</f>
        <v>0.245</v>
      </c>
      <c r="Z109" s="3" t="n">
        <f aca="false">H109*O109*V109</f>
        <v>0.1715</v>
      </c>
    </row>
    <row r="110" customFormat="false" ht="13.8" hidden="false" customHeight="false" outlineLevel="0" collapsed="false">
      <c r="A110" s="1" t="n">
        <v>46023</v>
      </c>
      <c r="B110" s="2" t="n">
        <v>2244.65909090909</v>
      </c>
      <c r="C110" s="2" t="n">
        <v>0</v>
      </c>
      <c r="D110" s="2" t="n">
        <v>0</v>
      </c>
      <c r="E110" s="2" t="n">
        <v>1</v>
      </c>
      <c r="F110" s="2" t="n">
        <v>1</v>
      </c>
      <c r="G110" s="2" t="n">
        <v>1</v>
      </c>
      <c r="H110" s="2" t="n">
        <f aca="false">0.35 * E110 + 0.2 * C110 + 0.2 * G110 + 0.15 * F110 + 0.1 * D110</f>
        <v>0.7</v>
      </c>
      <c r="I110" s="2" t="n">
        <v>0</v>
      </c>
      <c r="J110" s="2" t="n">
        <v>0</v>
      </c>
      <c r="K110" s="2" t="n">
        <v>1</v>
      </c>
      <c r="L110" s="2" t="n">
        <v>1</v>
      </c>
      <c r="M110" s="2" t="n">
        <v>1</v>
      </c>
      <c r="N110" s="2" t="n">
        <v>1</v>
      </c>
      <c r="O110" s="2" t="n">
        <f aca="false">0.3*L110 + 0.25 * M110+0.2 * J110 + 0.15*N110 + 0.1 * I110</f>
        <v>0.7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1</v>
      </c>
      <c r="U110" s="2" t="n">
        <v>1</v>
      </c>
      <c r="V110" s="3" t="n">
        <f aca="false">0.3 * Q110 + 0.25 * S110 + 0.2 * T110 + 0.15 * U110 + 0.1 * P110</f>
        <v>0.35</v>
      </c>
      <c r="W110" s="3" t="n">
        <f aca="false">H110*O110</f>
        <v>0.49</v>
      </c>
      <c r="X110" s="3" t="n">
        <f aca="false">H110*V110</f>
        <v>0.245</v>
      </c>
      <c r="Y110" s="3" t="n">
        <f aca="false">O110*V110</f>
        <v>0.245</v>
      </c>
      <c r="Z110" s="3" t="n">
        <f aca="false">H110*O110*V110</f>
        <v>0.1715</v>
      </c>
    </row>
    <row r="111" customFormat="false" ht="13.8" hidden="false" customHeight="false" outlineLevel="0" collapsed="false">
      <c r="A111" s="1" t="n">
        <v>46054</v>
      </c>
      <c r="B111" s="2" t="n">
        <v>2766.875</v>
      </c>
      <c r="C111" s="2" t="n">
        <v>0</v>
      </c>
      <c r="D111" s="2" t="n">
        <v>0</v>
      </c>
      <c r="E111" s="2" t="n">
        <v>1</v>
      </c>
      <c r="F111" s="2" t="n">
        <v>1</v>
      </c>
      <c r="G111" s="2" t="n">
        <v>1</v>
      </c>
      <c r="H111" s="2" t="n">
        <f aca="false">0.35 * E111 + 0.2 * C111 + 0.2 * G111 + 0.15 * F111 + 0.1 * D111</f>
        <v>0.7</v>
      </c>
      <c r="I111" s="2" t="n">
        <v>0</v>
      </c>
      <c r="J111" s="2" t="n">
        <v>0</v>
      </c>
      <c r="K111" s="2" t="n">
        <v>1</v>
      </c>
      <c r="L111" s="2" t="n">
        <v>1</v>
      </c>
      <c r="M111" s="2" t="n">
        <v>1</v>
      </c>
      <c r="N111" s="2" t="n">
        <v>1</v>
      </c>
      <c r="O111" s="2" t="n">
        <f aca="false">0.3*L111 + 0.25 * M111+0.2 * J111 + 0.15*N111 + 0.1 * I111</f>
        <v>0.7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1</v>
      </c>
      <c r="U111" s="2" t="n">
        <v>1</v>
      </c>
      <c r="V111" s="3" t="n">
        <f aca="false">0.3 * Q111 + 0.25 * S111 + 0.2 * T111 + 0.15 * U111 + 0.1 * P111</f>
        <v>0.35</v>
      </c>
      <c r="W111" s="3" t="n">
        <f aca="false">H111*O111</f>
        <v>0.49</v>
      </c>
      <c r="X111" s="3" t="n">
        <f aca="false">H111*V111</f>
        <v>0.245</v>
      </c>
      <c r="Y111" s="3" t="n">
        <f aca="false">O111*V111</f>
        <v>0.245</v>
      </c>
      <c r="Z111" s="3" t="n">
        <f aca="false">H111*O111*V111</f>
        <v>0.1715</v>
      </c>
    </row>
    <row r="112" customFormat="false" ht="13.8" hidden="false" customHeight="false" outlineLevel="0" collapsed="false">
      <c r="A112" s="1" t="n">
        <v>46082</v>
      </c>
      <c r="B112" s="2" t="n">
        <v>2855</v>
      </c>
      <c r="C112" s="2" t="n">
        <v>0</v>
      </c>
      <c r="D112" s="2" t="n">
        <v>0</v>
      </c>
      <c r="E112" s="2" t="n">
        <v>1</v>
      </c>
      <c r="F112" s="2" t="n">
        <v>1</v>
      </c>
      <c r="G112" s="2" t="n">
        <v>1</v>
      </c>
      <c r="H112" s="2" t="n">
        <f aca="false">0.35 * E112 + 0.2 * C112 + 0.2 * G112 + 0.15 * F112 + 0.1 * D112</f>
        <v>0.7</v>
      </c>
      <c r="I112" s="2" t="n">
        <v>0</v>
      </c>
      <c r="J112" s="2" t="n">
        <v>0</v>
      </c>
      <c r="K112" s="2" t="n">
        <v>1</v>
      </c>
      <c r="L112" s="2" t="n">
        <v>1</v>
      </c>
      <c r="M112" s="2" t="n">
        <v>1</v>
      </c>
      <c r="N112" s="2" t="n">
        <v>1</v>
      </c>
      <c r="O112" s="2" t="n">
        <f aca="false">0.3*L112 + 0.25 * M112+0.2 * J112 + 0.15*N112 + 0.1 * I112</f>
        <v>0.7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1</v>
      </c>
      <c r="U112" s="2" t="n">
        <v>1</v>
      </c>
      <c r="V112" s="3" t="n">
        <f aca="false">0.3 * Q112 + 0.25 * S112 + 0.2 * T112 + 0.15 * U112 + 0.1 * P112</f>
        <v>0.35</v>
      </c>
      <c r="W112" s="3" t="n">
        <f aca="false">H112*O112</f>
        <v>0.49</v>
      </c>
      <c r="X112" s="3" t="n">
        <f aca="false">H112*V112</f>
        <v>0.245</v>
      </c>
      <c r="Y112" s="3" t="n">
        <f aca="false">O112*V112</f>
        <v>0.245</v>
      </c>
      <c r="Z112" s="3" t="n">
        <f aca="false">H112*O112*V112</f>
        <v>0.1715</v>
      </c>
    </row>
    <row r="113" customFormat="false" ht="13.8" hidden="false" customHeight="false" outlineLevel="0" collapsed="false">
      <c r="A113" s="1" t="n">
        <v>46113</v>
      </c>
      <c r="B113" s="2" t="n">
        <v>2958.40909090909</v>
      </c>
      <c r="C113" s="2" t="n">
        <v>0</v>
      </c>
      <c r="D113" s="2" t="n">
        <v>0</v>
      </c>
      <c r="E113" s="2" t="n">
        <v>1</v>
      </c>
      <c r="F113" s="2" t="n">
        <v>1</v>
      </c>
      <c r="G113" s="2" t="n">
        <v>1</v>
      </c>
      <c r="H113" s="2" t="n">
        <f aca="false">0.35 * E113 + 0.2 * C113 + 0.2 * G113 + 0.15 * F113 + 0.1 * D113</f>
        <v>0.7</v>
      </c>
      <c r="I113" s="2" t="n">
        <v>0</v>
      </c>
      <c r="J113" s="2" t="n">
        <v>0</v>
      </c>
      <c r="K113" s="2" t="n">
        <v>1</v>
      </c>
      <c r="L113" s="2" t="n">
        <v>1</v>
      </c>
      <c r="M113" s="2" t="n">
        <v>1</v>
      </c>
      <c r="N113" s="2" t="n">
        <v>1</v>
      </c>
      <c r="O113" s="2" t="n">
        <f aca="false">0.3*L113 + 0.25 * M113+0.2 * J113 + 0.15*N113 + 0.1 * I113</f>
        <v>0.7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1</v>
      </c>
      <c r="U113" s="2" t="n">
        <v>1</v>
      </c>
      <c r="V113" s="3" t="n">
        <f aca="false">0.3 * Q113 + 0.25 * S113 + 0.2 * T113 + 0.15 * U113 + 0.1 * P113</f>
        <v>0.35</v>
      </c>
      <c r="W113" s="3" t="n">
        <f aca="false">H113*O113</f>
        <v>0.49</v>
      </c>
      <c r="X113" s="3" t="n">
        <f aca="false">H113*V113</f>
        <v>0.245</v>
      </c>
      <c r="Y113" s="3" t="n">
        <f aca="false">O113*V113</f>
        <v>0.245</v>
      </c>
      <c r="Z113" s="3" t="n">
        <f aca="false">H113*O113*V113</f>
        <v>0.1715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8.6171875" defaultRowHeight="13.8" zeroHeight="false" outlineLevelRow="0" outlineLevelCol="0"/>
  <cols>
    <col collapsed="false" customWidth="true" hidden="false" outlineLevel="0" max="1" min="1" style="1" width="14.91"/>
    <col collapsed="false" customWidth="true" hidden="false" outlineLevel="0" max="2" min="2" style="2" width="10.82"/>
    <col collapsed="false" customWidth="true" hidden="false" outlineLevel="0" max="12" min="7" style="2" width="8.73"/>
    <col collapsed="false" customWidth="true" hidden="false" outlineLevel="0" max="13" min="13" style="2" width="9.21"/>
    <col collapsed="false" customWidth="true" hidden="false" outlineLevel="0" max="14" min="14" style="3" width="11.96"/>
    <col collapsed="false" customWidth="true" hidden="false" outlineLevel="0" max="15" min="15" style="3" width="11.85"/>
    <col collapsed="false" customWidth="true" hidden="false" outlineLevel="0" max="16" min="16" style="3" width="10.81"/>
    <col collapsed="false" customWidth="true" hidden="false" outlineLevel="0" max="17" min="17" style="3" width="9.89"/>
    <col collapsed="false" customWidth="true" hidden="false" outlineLevel="0" max="18" min="18" style="3" width="9.32"/>
    <col collapsed="false" customWidth="true" hidden="false" outlineLevel="0" max="16384" min="16337" style="3" width="10.49"/>
  </cols>
  <sheetData>
    <row r="1" s="6" customFormat="true" ht="26.45" hidden="false" customHeight="false" outlineLevel="0" collapsed="false">
      <c r="A1" s="4" t="s">
        <v>0</v>
      </c>
      <c r="B1" s="8" t="s">
        <v>52</v>
      </c>
      <c r="C1" s="5" t="s">
        <v>53</v>
      </c>
      <c r="D1" s="5" t="s">
        <v>26</v>
      </c>
      <c r="E1" s="5" t="s">
        <v>54</v>
      </c>
      <c r="F1" s="5" t="s">
        <v>55</v>
      </c>
      <c r="G1" s="5" t="s">
        <v>7</v>
      </c>
      <c r="H1" s="5" t="s">
        <v>56</v>
      </c>
      <c r="I1" s="5" t="s">
        <v>57</v>
      </c>
      <c r="J1" s="5" t="s">
        <v>58</v>
      </c>
      <c r="K1" s="5" t="s">
        <v>11</v>
      </c>
      <c r="L1" s="5" t="s">
        <v>59</v>
      </c>
      <c r="M1" s="5" t="s">
        <v>13</v>
      </c>
      <c r="N1" s="5" t="s">
        <v>14</v>
      </c>
      <c r="O1" s="5" t="s">
        <v>60</v>
      </c>
      <c r="P1" s="5" t="s">
        <v>17</v>
      </c>
      <c r="Q1" s="5" t="s">
        <v>61</v>
      </c>
      <c r="R1" s="5" t="s">
        <v>62</v>
      </c>
      <c r="S1" s="9" t="s">
        <v>19</v>
      </c>
      <c r="T1" s="9" t="s">
        <v>20</v>
      </c>
      <c r="U1" s="9" t="s">
        <v>21</v>
      </c>
      <c r="V1" s="9" t="s">
        <v>22</v>
      </c>
      <c r="W1" s="6" t="s">
        <v>23</v>
      </c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  <row r="2" customFormat="false" ht="13.8" hidden="false" customHeight="false" outlineLevel="0" collapsed="false">
      <c r="A2" s="1" t="n">
        <v>42736</v>
      </c>
      <c r="B2" s="2" t="n">
        <v>9971.46428571428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f aca="false">0.45 * D2 + 0.2 * C2 + 0.2 * E2 + 0.15 *F2</f>
        <v>0</v>
      </c>
      <c r="H2" s="2" t="n">
        <v>1</v>
      </c>
      <c r="I2" s="2" t="n">
        <v>1</v>
      </c>
      <c r="J2" s="2" t="n">
        <v>1</v>
      </c>
      <c r="K2" s="2" t="n">
        <v>0</v>
      </c>
      <c r="L2" s="2" t="n">
        <v>0</v>
      </c>
      <c r="M2" s="2" t="n">
        <f aca="false">0.35 * H2 + 0.25*J2 + 0.2*L2 + 0.15 *K2 + 0.05*I2</f>
        <v>0.65</v>
      </c>
      <c r="N2" s="2" t="n">
        <v>1</v>
      </c>
      <c r="O2" s="2" t="n">
        <v>0</v>
      </c>
      <c r="P2" s="2" t="n">
        <v>0</v>
      </c>
      <c r="Q2" s="2" t="n">
        <v>0</v>
      </c>
      <c r="R2" s="2" t="n">
        <v>0</v>
      </c>
      <c r="S2" s="3" t="n">
        <f aca="false">0.4 * O2 + 0.25*R2 + 0.2 *N2 + 0.15*P2</f>
        <v>0.2</v>
      </c>
      <c r="T2" s="3" t="n">
        <f aca="false">G2*M2</f>
        <v>0</v>
      </c>
      <c r="U2" s="3" t="n">
        <f aca="false">G2*S2</f>
        <v>0</v>
      </c>
      <c r="V2" s="3" t="n">
        <f aca="false">M2*S2</f>
        <v>0.13</v>
      </c>
      <c r="W2" s="3" t="n">
        <f aca="false">G2*M2*S2</f>
        <v>0</v>
      </c>
    </row>
    <row r="3" customFormat="false" ht="13.8" hidden="false" customHeight="false" outlineLevel="0" collapsed="false">
      <c r="A3" s="1" t="n">
        <v>42767</v>
      </c>
      <c r="B3" s="2" t="n">
        <v>10643.3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f aca="false">0.45 * D3 + 0.2 * C3 + 0.2 * E3 + 0.15 *F3</f>
        <v>0</v>
      </c>
      <c r="H3" s="2" t="n">
        <v>1</v>
      </c>
      <c r="I3" s="2" t="n">
        <v>1</v>
      </c>
      <c r="J3" s="2" t="n">
        <v>1</v>
      </c>
      <c r="K3" s="2" t="n">
        <v>0</v>
      </c>
      <c r="L3" s="2" t="n">
        <v>0</v>
      </c>
      <c r="M3" s="2" t="n">
        <f aca="false">0.35 * H3 + 0.25*J3 + 0.2*L3 + 0.15 *K3 + 0.05*I3</f>
        <v>0.65</v>
      </c>
      <c r="N3" s="2" t="n">
        <v>1</v>
      </c>
      <c r="O3" s="2" t="n">
        <v>0</v>
      </c>
      <c r="P3" s="2" t="n">
        <v>0</v>
      </c>
      <c r="Q3" s="2" t="n">
        <v>0</v>
      </c>
      <c r="R3" s="2" t="n">
        <v>0</v>
      </c>
      <c r="S3" s="3" t="n">
        <f aca="false">0.4 * O3 + 0.25*R3 + 0.2 *N3 + 0.15*P3</f>
        <v>0.2</v>
      </c>
      <c r="T3" s="3" t="n">
        <f aca="false">G3*M3</f>
        <v>0</v>
      </c>
      <c r="U3" s="3" t="n">
        <f aca="false">G3*S3</f>
        <v>0</v>
      </c>
      <c r="V3" s="3" t="n">
        <f aca="false">M3*S3</f>
        <v>0.13</v>
      </c>
      <c r="W3" s="3" t="n">
        <f aca="false">G3*M3*S3</f>
        <v>0</v>
      </c>
    </row>
    <row r="4" customFormat="false" ht="13.8" hidden="false" customHeight="false" outlineLevel="0" collapsed="false">
      <c r="A4" s="1" t="n">
        <v>42795</v>
      </c>
      <c r="B4" s="2" t="n">
        <v>10204.6630434782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f aca="false">0.45 * D4 + 0.2 * C4 + 0.2 * E4 + 0.15 *F4</f>
        <v>0</v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f aca="false">0.35 * H4 + 0.25*J4 + 0.2*L4 + 0.15 *K4 + 0.05*I4</f>
        <v>0.35</v>
      </c>
      <c r="N4" s="2" t="n">
        <v>1</v>
      </c>
      <c r="O4" s="2" t="n">
        <v>0</v>
      </c>
      <c r="P4" s="2" t="n">
        <v>0</v>
      </c>
      <c r="Q4" s="2" t="n">
        <v>0</v>
      </c>
      <c r="R4" s="2" t="n">
        <v>0</v>
      </c>
      <c r="S4" s="3" t="n">
        <f aca="false">0.4 * O4 + 0.25*R4 + 0.2 *N4 + 0.15*P4</f>
        <v>0.2</v>
      </c>
      <c r="T4" s="3" t="n">
        <f aca="false">G4*M4</f>
        <v>0</v>
      </c>
      <c r="U4" s="3" t="n">
        <f aca="false">G4*S4</f>
        <v>0</v>
      </c>
      <c r="V4" s="3" t="n">
        <f aca="false">M4*S4</f>
        <v>0.07</v>
      </c>
      <c r="W4" s="3" t="n">
        <f aca="false">G4*M4*S4</f>
        <v>0</v>
      </c>
    </row>
    <row r="5" customFormat="false" ht="13.8" hidden="false" customHeight="false" outlineLevel="0" collapsed="false">
      <c r="A5" s="1" t="n">
        <v>42826</v>
      </c>
      <c r="B5" s="2" t="n">
        <v>9609.27777777777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f aca="false">0.45 * D5 + 0.2 * C5 + 0.2 * E5 + 0.15 *F5</f>
        <v>0</v>
      </c>
      <c r="H5" s="2" t="n">
        <v>1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f aca="false">0.35 * H5 + 0.25*J5 + 0.2*L5 + 0.15 *K5 + 0.05*I5</f>
        <v>0.35</v>
      </c>
      <c r="N5" s="2" t="n">
        <v>1</v>
      </c>
      <c r="O5" s="2" t="n">
        <v>0</v>
      </c>
      <c r="P5" s="2" t="n">
        <v>0</v>
      </c>
      <c r="Q5" s="2" t="n">
        <v>0</v>
      </c>
      <c r="R5" s="2" t="n">
        <v>0</v>
      </c>
      <c r="S5" s="3" t="n">
        <f aca="false">0.4 * O5 + 0.25*R5 + 0.2 *N5 + 0.15*P5</f>
        <v>0.2</v>
      </c>
      <c r="T5" s="3" t="n">
        <f aca="false">G5*M5</f>
        <v>0</v>
      </c>
      <c r="U5" s="3" t="n">
        <f aca="false">G5*S5</f>
        <v>0</v>
      </c>
      <c r="V5" s="3" t="n">
        <f aca="false">M5*S5</f>
        <v>0.07</v>
      </c>
      <c r="W5" s="3" t="n">
        <f aca="false">G5*M5*S5</f>
        <v>0</v>
      </c>
    </row>
    <row r="6" customFormat="false" ht="13.8" hidden="false" customHeight="false" outlineLevel="0" collapsed="false">
      <c r="A6" s="1" t="n">
        <v>42856</v>
      </c>
      <c r="B6" s="2" t="n">
        <v>9155.11904761904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f aca="false">0.45 * D6 + 0.2 * C6 + 0.2 * E6 + 0.15 *F6</f>
        <v>0</v>
      </c>
      <c r="H6" s="2" t="n">
        <v>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f aca="false">0.35 * H6 + 0.25*J6 + 0.2*L6 + 0.15 *K6 + 0.05*I6</f>
        <v>0.35</v>
      </c>
      <c r="N6" s="2" t="n">
        <v>1</v>
      </c>
      <c r="O6" s="2" t="n">
        <v>0</v>
      </c>
      <c r="P6" s="2" t="n">
        <v>0</v>
      </c>
      <c r="Q6" s="2" t="n">
        <v>0</v>
      </c>
      <c r="R6" s="2" t="n">
        <v>0</v>
      </c>
      <c r="S6" s="3" t="n">
        <f aca="false">0.4 * O6 + 0.25*R6 + 0.2 *N6 + 0.15*P6</f>
        <v>0.2</v>
      </c>
      <c r="T6" s="3" t="n">
        <f aca="false">G6*M6</f>
        <v>0</v>
      </c>
      <c r="U6" s="3" t="n">
        <f aca="false">G6*S6</f>
        <v>0</v>
      </c>
      <c r="V6" s="3" t="n">
        <f aca="false">M6*S6</f>
        <v>0.07</v>
      </c>
      <c r="W6" s="3" t="n">
        <f aca="false">G6*M6*S6</f>
        <v>0</v>
      </c>
    </row>
    <row r="7" customFormat="false" ht="13.8" hidden="false" customHeight="false" outlineLevel="0" collapsed="false">
      <c r="A7" s="1" t="n">
        <v>42887</v>
      </c>
      <c r="B7" s="2" t="n">
        <v>8931.76136363636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f aca="false">0.45 * D7 + 0.2 * C7 + 0.2 * E7 + 0.15 *F7</f>
        <v>0</v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f aca="false">0.35 * H7 + 0.25*J7 + 0.2*L7 + 0.15 *K7 + 0.05*I7</f>
        <v>0.35</v>
      </c>
      <c r="N7" s="2" t="n">
        <v>1</v>
      </c>
      <c r="O7" s="2" t="n">
        <v>0</v>
      </c>
      <c r="P7" s="2" t="n">
        <v>0</v>
      </c>
      <c r="Q7" s="2" t="n">
        <v>0</v>
      </c>
      <c r="R7" s="2" t="n">
        <v>0</v>
      </c>
      <c r="S7" s="3" t="n">
        <f aca="false">0.4 * O7 + 0.25*R7 + 0.2 *N7 + 0.15*P7</f>
        <v>0.2</v>
      </c>
      <c r="T7" s="3" t="n">
        <f aca="false">G7*M7</f>
        <v>0</v>
      </c>
      <c r="U7" s="3" t="n">
        <f aca="false">G7*S7</f>
        <v>0</v>
      </c>
      <c r="V7" s="3" t="n">
        <f aca="false">M7*S7</f>
        <v>0.07</v>
      </c>
      <c r="W7" s="3" t="n">
        <f aca="false">G7*M7*S7</f>
        <v>0</v>
      </c>
    </row>
    <row r="8" customFormat="false" ht="13.8" hidden="false" customHeight="false" outlineLevel="0" collapsed="false">
      <c r="A8" s="1" t="n">
        <v>42917</v>
      </c>
      <c r="B8" s="2" t="n">
        <v>9491.39285714285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f aca="false">0.45 * D8 + 0.2 * C8 + 0.2 * E8 + 0.15 *F8</f>
        <v>0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f aca="false">0.35 * H8 + 0.25*J8 + 0.2*L8 + 0.15 *K8 + 0.05*I8</f>
        <v>0.35</v>
      </c>
      <c r="N8" s="2" t="n">
        <v>1</v>
      </c>
      <c r="O8" s="2" t="n">
        <v>0</v>
      </c>
      <c r="P8" s="2" t="n">
        <v>0</v>
      </c>
      <c r="Q8" s="2" t="n">
        <v>0</v>
      </c>
      <c r="R8" s="2" t="n">
        <v>0</v>
      </c>
      <c r="S8" s="3" t="n">
        <f aca="false">0.4 * O8 + 0.25*R8 + 0.2 *N8 + 0.15*P8</f>
        <v>0.2</v>
      </c>
      <c r="T8" s="3" t="n">
        <f aca="false">G8*M8</f>
        <v>0</v>
      </c>
      <c r="U8" s="3" t="n">
        <f aca="false">G8*S8</f>
        <v>0</v>
      </c>
      <c r="V8" s="3" t="n">
        <f aca="false">M8*S8</f>
        <v>0.07</v>
      </c>
      <c r="W8" s="3" t="n">
        <f aca="false">G8*M8*S8</f>
        <v>0</v>
      </c>
    </row>
    <row r="9" customFormat="false" ht="13.8" hidden="false" customHeight="false" outlineLevel="0" collapsed="false">
      <c r="A9" s="1" t="n">
        <v>42948</v>
      </c>
      <c r="B9" s="2" t="n">
        <v>10889.9772727272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f aca="false">0.45 * D9 + 0.2 * C9 + 0.2 * E9 + 0.15 *F9</f>
        <v>0</v>
      </c>
      <c r="H9" s="2" t="n">
        <v>1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f aca="false">0.35 * H9 + 0.25*J9 + 0.2*L9 + 0.15 *K9 + 0.05*I9</f>
        <v>0.35</v>
      </c>
      <c r="N9" s="2" t="n">
        <v>1</v>
      </c>
      <c r="O9" s="2" t="n">
        <v>0</v>
      </c>
      <c r="P9" s="2" t="n">
        <v>0</v>
      </c>
      <c r="Q9" s="2" t="n">
        <v>0</v>
      </c>
      <c r="R9" s="2" t="n">
        <v>0</v>
      </c>
      <c r="S9" s="3" t="n">
        <f aca="false">0.4 * O9 + 0.25*R9 + 0.2 *N9 + 0.15*P9</f>
        <v>0.2</v>
      </c>
      <c r="T9" s="3" t="n">
        <f aca="false">G9*M9</f>
        <v>0</v>
      </c>
      <c r="U9" s="3" t="n">
        <f aca="false">G9*S9</f>
        <v>0</v>
      </c>
      <c r="V9" s="3" t="n">
        <f aca="false">M9*S9</f>
        <v>0.07</v>
      </c>
      <c r="W9" s="3" t="n">
        <f aca="false">G9*M9*S9</f>
        <v>0</v>
      </c>
    </row>
    <row r="10" customFormat="false" ht="13.8" hidden="false" customHeight="false" outlineLevel="0" collapsed="false">
      <c r="A10" s="1" t="n">
        <v>42979</v>
      </c>
      <c r="B10" s="2" t="n">
        <v>11215.7857142857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f aca="false">0.45 * D10 + 0.2 * C10 + 0.2 * E10 + 0.15 *F10</f>
        <v>0</v>
      </c>
      <c r="H10" s="2" t="n">
        <v>1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f aca="false">0.35 * H10 + 0.25*J10 + 0.2*L10 + 0.15 *K10 + 0.05*I10</f>
        <v>0.35</v>
      </c>
      <c r="N10" s="2" t="n">
        <v>1</v>
      </c>
      <c r="O10" s="2" t="n">
        <v>0</v>
      </c>
      <c r="P10" s="2" t="n">
        <v>0</v>
      </c>
      <c r="Q10" s="2" t="n">
        <v>0</v>
      </c>
      <c r="R10" s="2" t="n">
        <v>0</v>
      </c>
      <c r="S10" s="3" t="n">
        <f aca="false">0.4 * O10 + 0.25*R10 + 0.2 *N10 + 0.15*P10</f>
        <v>0.2</v>
      </c>
      <c r="T10" s="3" t="n">
        <f aca="false">G10*M10</f>
        <v>0</v>
      </c>
      <c r="U10" s="3" t="n">
        <f aca="false">G10*S10</f>
        <v>0</v>
      </c>
      <c r="V10" s="3" t="n">
        <f aca="false">M10*S10</f>
        <v>0.07</v>
      </c>
      <c r="W10" s="3" t="n">
        <f aca="false">G10*M10*S10</f>
        <v>0</v>
      </c>
    </row>
    <row r="11" customFormat="false" ht="13.8" hidden="false" customHeight="false" outlineLevel="0" collapsed="false">
      <c r="A11" s="1" t="n">
        <v>43009</v>
      </c>
      <c r="B11" s="2" t="n">
        <v>11335.7727272727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f aca="false">0.45 * D11 + 0.2 * C11 + 0.2 * E11 + 0.15 *F11</f>
        <v>0</v>
      </c>
      <c r="H11" s="2" t="n">
        <v>1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f aca="false">0.35 * H11 + 0.25*J11 + 0.2*L11 + 0.15 *K11 + 0.05*I11</f>
        <v>0.35</v>
      </c>
      <c r="N11" s="2" t="n">
        <v>1</v>
      </c>
      <c r="O11" s="2" t="n">
        <v>0</v>
      </c>
      <c r="P11" s="2" t="n">
        <v>0</v>
      </c>
      <c r="Q11" s="2" t="n">
        <v>0</v>
      </c>
      <c r="R11" s="2" t="n">
        <v>0</v>
      </c>
      <c r="S11" s="3" t="n">
        <f aca="false">0.4 * O11 + 0.25*R11 + 0.2 *N11 + 0.15*P11</f>
        <v>0.2</v>
      </c>
      <c r="T11" s="3" t="n">
        <f aca="false">G11*M11</f>
        <v>0</v>
      </c>
      <c r="U11" s="3" t="n">
        <f aca="false">G11*S11</f>
        <v>0</v>
      </c>
      <c r="V11" s="3" t="n">
        <f aca="false">M11*S11</f>
        <v>0.07</v>
      </c>
      <c r="W11" s="3" t="n">
        <f aca="false">G11*M11*S11</f>
        <v>0</v>
      </c>
    </row>
    <row r="12" customFormat="false" ht="13.8" hidden="false" customHeight="false" outlineLevel="0" collapsed="false">
      <c r="A12" s="1" t="n">
        <v>43040</v>
      </c>
      <c r="B12" s="2" t="n">
        <v>11972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f aca="false">0.45 * D12 + 0.2 * C12 + 0.2 * E12 + 0.15 *F12</f>
        <v>0</v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f aca="false">0.35 * H12 + 0.25*J12 + 0.2*L12 + 0.15 *K12 + 0.05*I12</f>
        <v>0.35</v>
      </c>
      <c r="N12" s="2" t="n">
        <v>1</v>
      </c>
      <c r="O12" s="2" t="n">
        <v>0</v>
      </c>
      <c r="P12" s="2" t="n">
        <v>0</v>
      </c>
      <c r="Q12" s="2" t="n">
        <v>0</v>
      </c>
      <c r="R12" s="2" t="n">
        <v>0</v>
      </c>
      <c r="S12" s="3" t="n">
        <f aca="false">0.4 * O12 + 0.25*R12 + 0.2 *N12 + 0.15*P12</f>
        <v>0.2</v>
      </c>
      <c r="T12" s="3" t="n">
        <f aca="false">G12*M12</f>
        <v>0</v>
      </c>
      <c r="U12" s="3" t="n">
        <f aca="false">G12*S12</f>
        <v>0</v>
      </c>
      <c r="V12" s="3" t="n">
        <f aca="false">M12*S12</f>
        <v>0.07</v>
      </c>
      <c r="W12" s="3" t="n">
        <f aca="false">G12*M12*S12</f>
        <v>0</v>
      </c>
    </row>
    <row r="13" customFormat="false" ht="13.8" hidden="false" customHeight="false" outlineLevel="0" collapsed="false">
      <c r="A13" s="1" t="n">
        <v>43070</v>
      </c>
      <c r="B13" s="2" t="n">
        <v>11495.1052631578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f aca="false">0.45 * D13 + 0.2 * C13 + 0.2 * E13 + 0.15 *F13</f>
        <v>0</v>
      </c>
      <c r="H13" s="2" t="n">
        <v>1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f aca="false">0.35 * H13 + 0.25*J13 + 0.2*L13 + 0.15 *K13 + 0.05*I13</f>
        <v>0.35</v>
      </c>
      <c r="N13" s="2" t="n">
        <v>1</v>
      </c>
      <c r="O13" s="2" t="n">
        <v>0</v>
      </c>
      <c r="P13" s="2" t="n">
        <v>0</v>
      </c>
      <c r="Q13" s="2" t="n">
        <v>0</v>
      </c>
      <c r="R13" s="2" t="n">
        <v>0</v>
      </c>
      <c r="S13" s="3" t="n">
        <f aca="false">0.4 * O13 + 0.25*R13 + 0.2 *N13 + 0.15*P13</f>
        <v>0.2</v>
      </c>
      <c r="T13" s="3" t="n">
        <f aca="false">G13*M13</f>
        <v>0</v>
      </c>
      <c r="U13" s="3" t="n">
        <f aca="false">G13*S13</f>
        <v>0</v>
      </c>
      <c r="V13" s="3" t="n">
        <f aca="false">M13*S13</f>
        <v>0.07</v>
      </c>
      <c r="W13" s="3" t="n">
        <f aca="false">G13*M13*S13</f>
        <v>0</v>
      </c>
    </row>
    <row r="14" customFormat="false" ht="13.8" hidden="false" customHeight="false" outlineLevel="0" collapsed="false">
      <c r="A14" s="1" t="n">
        <v>43101</v>
      </c>
      <c r="B14" s="2" t="n">
        <v>12864.875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f aca="false">0.45 * D14 + 0.2 * C14 + 0.2 * E14 + 0.15 *F14</f>
        <v>0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f aca="false">0.35 * H14 + 0.25*J14 + 0.2*L14 + 0.15 *K14 + 0.05*I14</f>
        <v>0.35</v>
      </c>
      <c r="N14" s="2" t="n">
        <v>1</v>
      </c>
      <c r="O14" s="2" t="n">
        <v>0</v>
      </c>
      <c r="P14" s="2" t="n">
        <v>0</v>
      </c>
      <c r="Q14" s="2" t="n">
        <v>0</v>
      </c>
      <c r="R14" s="2" t="n">
        <v>0</v>
      </c>
      <c r="S14" s="3" t="n">
        <f aca="false">0.4 * O14 + 0.25*R14 + 0.2 *N14 + 0.15*P14</f>
        <v>0.2</v>
      </c>
      <c r="T14" s="3" t="n">
        <f aca="false">G14*M14</f>
        <v>0</v>
      </c>
      <c r="U14" s="3" t="n">
        <f aca="false">G14*S14</f>
        <v>0</v>
      </c>
      <c r="V14" s="3" t="n">
        <f aca="false">M14*S14</f>
        <v>0.07</v>
      </c>
      <c r="W14" s="3" t="n">
        <f aca="false">G14*M14*S14</f>
        <v>0</v>
      </c>
    </row>
    <row r="15" customFormat="false" ht="13.8" hidden="false" customHeight="false" outlineLevel="0" collapsed="false">
      <c r="A15" s="1" t="n">
        <v>43132</v>
      </c>
      <c r="B15" s="2" t="n">
        <v>13595.875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f aca="false">0.45 * D15 + 0.2 * C15 + 0.2 * E15 + 0.15 *F15</f>
        <v>0</v>
      </c>
      <c r="H15" s="2" t="n">
        <v>1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f aca="false">0.35 * H15 + 0.25*J15 + 0.2*L15 + 0.15 *K15 + 0.05*I15</f>
        <v>0.35</v>
      </c>
      <c r="N15" s="2" t="n">
        <v>1</v>
      </c>
      <c r="O15" s="2" t="n">
        <v>0</v>
      </c>
      <c r="P15" s="2" t="n">
        <v>0</v>
      </c>
      <c r="Q15" s="2" t="n">
        <v>0</v>
      </c>
      <c r="R15" s="2" t="n">
        <v>0</v>
      </c>
      <c r="S15" s="3" t="n">
        <f aca="false">0.4 * O15 + 0.25*R15 + 0.2 *N15 + 0.15*P15</f>
        <v>0.2</v>
      </c>
      <c r="T15" s="3" t="n">
        <f aca="false">G15*M15</f>
        <v>0</v>
      </c>
      <c r="U15" s="3" t="n">
        <f aca="false">G15*S15</f>
        <v>0</v>
      </c>
      <c r="V15" s="3" t="n">
        <f aca="false">M15*S15</f>
        <v>0.07</v>
      </c>
      <c r="W15" s="3" t="n">
        <f aca="false">G15*M15*S15</f>
        <v>0</v>
      </c>
    </row>
    <row r="16" customFormat="false" ht="13.8" hidden="false" customHeight="false" outlineLevel="0" collapsed="false">
      <c r="A16" s="1" t="n">
        <v>43160</v>
      </c>
      <c r="B16" s="2" t="n">
        <v>13392.5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f aca="false">0.45 * D16 + 0.2 * C16 + 0.2 * E16 + 0.15 *F16</f>
        <v>0</v>
      </c>
      <c r="H16" s="2" t="n">
        <v>1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f aca="false">0.35 * H16 + 0.25*J16 + 0.2*L16 + 0.15 *K16 + 0.05*I16</f>
        <v>0.35</v>
      </c>
      <c r="N16" s="2" t="n">
        <v>1</v>
      </c>
      <c r="O16" s="2" t="n">
        <v>0</v>
      </c>
      <c r="P16" s="2" t="n">
        <v>0</v>
      </c>
      <c r="Q16" s="2" t="n">
        <v>0</v>
      </c>
      <c r="R16" s="2" t="n">
        <v>0</v>
      </c>
      <c r="S16" s="3" t="n">
        <f aca="false">0.4 * O16 + 0.25*R16 + 0.2 *N16 + 0.15*P16</f>
        <v>0.2</v>
      </c>
      <c r="T16" s="3" t="n">
        <f aca="false">G16*M16</f>
        <v>0</v>
      </c>
      <c r="U16" s="3" t="n">
        <f aca="false">G16*S16</f>
        <v>0</v>
      </c>
      <c r="V16" s="3" t="n">
        <f aca="false">M16*S16</f>
        <v>0.07</v>
      </c>
      <c r="W16" s="3" t="n">
        <f aca="false">G16*M16*S16</f>
        <v>0</v>
      </c>
    </row>
    <row r="17" customFormat="false" ht="13.8" hidden="false" customHeight="false" outlineLevel="0" collapsed="false">
      <c r="A17" s="1" t="n">
        <v>43191</v>
      </c>
      <c r="B17" s="2" t="n">
        <v>13938.1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f aca="false">0.45 * D17 + 0.2 * C17 + 0.2 * E17 + 0.15 *F17</f>
        <v>0</v>
      </c>
      <c r="H17" s="2" t="n">
        <v>1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f aca="false">0.35 * H17 + 0.25*J17 + 0.2*L17 + 0.15 *K17 + 0.05*I17</f>
        <v>0.35</v>
      </c>
      <c r="N17" s="2" t="n">
        <v>1</v>
      </c>
      <c r="O17" s="2" t="n">
        <v>0</v>
      </c>
      <c r="P17" s="2" t="n">
        <v>0</v>
      </c>
      <c r="Q17" s="2" t="n">
        <v>0</v>
      </c>
      <c r="R17" s="2" t="n">
        <v>0</v>
      </c>
      <c r="S17" s="3" t="n">
        <f aca="false">0.4 * O17 + 0.25*R17 + 0.2 *N17 + 0.15*P17</f>
        <v>0.2</v>
      </c>
      <c r="T17" s="3" t="n">
        <f aca="false">G17*M17</f>
        <v>0</v>
      </c>
      <c r="U17" s="3" t="n">
        <f aca="false">G17*S17</f>
        <v>0</v>
      </c>
      <c r="V17" s="3" t="n">
        <f aca="false">M17*S17</f>
        <v>0.07</v>
      </c>
      <c r="W17" s="3" t="n">
        <f aca="false">G17*M17*S17</f>
        <v>0</v>
      </c>
    </row>
    <row r="18" customFormat="false" ht="13.8" hidden="false" customHeight="false" outlineLevel="0" collapsed="false">
      <c r="A18" s="1" t="n">
        <v>43221</v>
      </c>
      <c r="B18" s="2" t="n">
        <v>14366.4880952381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f aca="false">0.45 * D18 + 0.2 * C18 + 0.2 * E18 + 0.15 *F18</f>
        <v>0</v>
      </c>
      <c r="H18" s="2" t="n">
        <v>1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f aca="false">0.35 * H18 + 0.25*J18 + 0.2*L18 + 0.15 *K18 + 0.05*I18</f>
        <v>0.35</v>
      </c>
      <c r="N18" s="2" t="n">
        <v>1</v>
      </c>
      <c r="O18" s="2" t="n">
        <v>0</v>
      </c>
      <c r="P18" s="2" t="n">
        <v>0</v>
      </c>
      <c r="Q18" s="2" t="n">
        <v>0</v>
      </c>
      <c r="R18" s="2" t="n">
        <v>0</v>
      </c>
      <c r="S18" s="3" t="n">
        <f aca="false">0.4 * O18 + 0.25*R18 + 0.2 *N18 + 0.15*P18</f>
        <v>0.2</v>
      </c>
      <c r="T18" s="3" t="n">
        <f aca="false">G18*M18</f>
        <v>0</v>
      </c>
      <c r="U18" s="3" t="n">
        <f aca="false">G18*S18</f>
        <v>0</v>
      </c>
      <c r="V18" s="3" t="n">
        <f aca="false">M18*S18</f>
        <v>0.07</v>
      </c>
      <c r="W18" s="3" t="n">
        <f aca="false">G18*M18*S18</f>
        <v>0</v>
      </c>
    </row>
    <row r="19" customFormat="false" ht="13.8" hidden="false" customHeight="false" outlineLevel="0" collapsed="false">
      <c r="A19" s="1" t="n">
        <v>43252</v>
      </c>
      <c r="B19" s="2" t="n">
        <v>15105.6547619047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f aca="false">0.45 * D19 + 0.2 * C19 + 0.2 * E19 + 0.15 *F19</f>
        <v>0</v>
      </c>
      <c r="H19" s="2" t="n">
        <v>1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f aca="false">0.35 * H19 + 0.25*J19 + 0.2*L19 + 0.15 *K19 + 0.05*I19</f>
        <v>0.35</v>
      </c>
      <c r="N19" s="2" t="n">
        <v>1</v>
      </c>
      <c r="O19" s="2" t="n">
        <v>0</v>
      </c>
      <c r="P19" s="2" t="n">
        <v>0</v>
      </c>
      <c r="Q19" s="2" t="n">
        <v>0</v>
      </c>
      <c r="R19" s="2" t="n">
        <v>0</v>
      </c>
      <c r="S19" s="3" t="n">
        <f aca="false">0.4 * O19 + 0.25*R19 + 0.2 *N19 + 0.15*P19</f>
        <v>0.2</v>
      </c>
      <c r="T19" s="3" t="n">
        <f aca="false">G19*M19</f>
        <v>0</v>
      </c>
      <c r="U19" s="3" t="n">
        <f aca="false">G19*S19</f>
        <v>0</v>
      </c>
      <c r="V19" s="3" t="n">
        <f aca="false">M19*S19</f>
        <v>0.07</v>
      </c>
      <c r="W19" s="3" t="n">
        <f aca="false">G19*M19*S19</f>
        <v>0</v>
      </c>
    </row>
    <row r="20" customFormat="false" ht="13.8" hidden="false" customHeight="false" outlineLevel="0" collapsed="false">
      <c r="A20" s="1" t="n">
        <v>43282</v>
      </c>
      <c r="B20" s="2" t="n">
        <v>13793.8636363636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f aca="false">0.45 * D20 + 0.2 * C20 + 0.2 * E20 + 0.15 *F20</f>
        <v>0</v>
      </c>
      <c r="H20" s="2" t="n">
        <v>1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f aca="false">0.35 * H20 + 0.25*J20 + 0.2*L20 + 0.15 *K20 + 0.05*I20</f>
        <v>0.35</v>
      </c>
      <c r="N20" s="2" t="n">
        <v>1</v>
      </c>
      <c r="O20" s="2" t="n">
        <v>0</v>
      </c>
      <c r="P20" s="2" t="n">
        <v>0</v>
      </c>
      <c r="Q20" s="2" t="n">
        <v>0</v>
      </c>
      <c r="R20" s="2" t="n">
        <v>0</v>
      </c>
      <c r="S20" s="3" t="n">
        <f aca="false">0.4 * O20 + 0.25*R20 + 0.2 *N20 + 0.15*P20</f>
        <v>0.2</v>
      </c>
      <c r="T20" s="3" t="n">
        <f aca="false">G20*M20</f>
        <v>0</v>
      </c>
      <c r="U20" s="3" t="n">
        <f aca="false">G20*S20</f>
        <v>0</v>
      </c>
      <c r="V20" s="3" t="n">
        <f aca="false">M20*S20</f>
        <v>0.07</v>
      </c>
      <c r="W20" s="3" t="n">
        <f aca="false">G20*M20*S20</f>
        <v>0</v>
      </c>
    </row>
    <row r="21" customFormat="false" ht="13.8" hidden="false" customHeight="false" outlineLevel="0" collapsed="false">
      <c r="A21" s="1" t="n">
        <v>43313</v>
      </c>
      <c r="B21" s="2" t="n">
        <v>13411.3522727272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f aca="false">0.45 * D21 + 0.2 * C21 + 0.2 * E21 + 0.15 *F21</f>
        <v>0</v>
      </c>
      <c r="H21" s="2" t="n">
        <v>1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f aca="false">0.35 * H21 + 0.25*J21 + 0.2*L21 + 0.15 *K21 + 0.05*I21</f>
        <v>0.35</v>
      </c>
      <c r="N21" s="2" t="n">
        <v>1</v>
      </c>
      <c r="O21" s="2" t="n">
        <v>0</v>
      </c>
      <c r="P21" s="2" t="n">
        <v>0</v>
      </c>
      <c r="Q21" s="2" t="n">
        <v>0</v>
      </c>
      <c r="R21" s="2" t="n">
        <v>0</v>
      </c>
      <c r="S21" s="3" t="n">
        <f aca="false">0.4 * O21 + 0.25*R21 + 0.2 *N21 + 0.15*P21</f>
        <v>0.2</v>
      </c>
      <c r="T21" s="3" t="n">
        <f aca="false">G21*M21</f>
        <v>0</v>
      </c>
      <c r="U21" s="3" t="n">
        <f aca="false">G21*S21</f>
        <v>0</v>
      </c>
      <c r="V21" s="3" t="n">
        <f aca="false">M21*S21</f>
        <v>0.07</v>
      </c>
      <c r="W21" s="3" t="n">
        <f aca="false">G21*M21*S21</f>
        <v>0</v>
      </c>
    </row>
    <row r="22" customFormat="false" ht="13.8" hidden="false" customHeight="false" outlineLevel="0" collapsed="false">
      <c r="A22" s="1" t="n">
        <v>43344</v>
      </c>
      <c r="B22" s="2" t="n">
        <v>12510.35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f aca="false">0.45 * D22 + 0.2 * C22 + 0.2 * E22 + 0.15 *F22</f>
        <v>0</v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f aca="false">0.35 * H22 + 0.25*J22 + 0.2*L22 + 0.15 *K22 + 0.05*I22</f>
        <v>0.35</v>
      </c>
      <c r="N22" s="2" t="n">
        <v>1</v>
      </c>
      <c r="O22" s="2" t="n">
        <v>0</v>
      </c>
      <c r="P22" s="2" t="n">
        <v>0</v>
      </c>
      <c r="Q22" s="2" t="n">
        <v>0</v>
      </c>
      <c r="R22" s="2" t="n">
        <v>0</v>
      </c>
      <c r="S22" s="3" t="n">
        <f aca="false">0.4 * O22 + 0.25*R22 + 0.2 *N22 + 0.15*P22</f>
        <v>0.2</v>
      </c>
      <c r="T22" s="3" t="n">
        <f aca="false">G22*M22</f>
        <v>0</v>
      </c>
      <c r="U22" s="3" t="n">
        <f aca="false">G22*S22</f>
        <v>0</v>
      </c>
      <c r="V22" s="3" t="n">
        <f aca="false">M22*S22</f>
        <v>0.07</v>
      </c>
      <c r="W22" s="3" t="n">
        <f aca="false">G22*M22*S22</f>
        <v>0</v>
      </c>
    </row>
    <row r="23" customFormat="false" ht="13.8" hidden="false" customHeight="false" outlineLevel="0" collapsed="false">
      <c r="A23" s="1" t="n">
        <v>43374</v>
      </c>
      <c r="B23" s="2" t="n">
        <v>12314.9130434782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f aca="false">0.45 * D23 + 0.2 * C23 + 0.2 * E23 + 0.15 *F23</f>
        <v>0</v>
      </c>
      <c r="H23" s="2" t="n">
        <v>1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f aca="false">0.35 * H23 + 0.25*J23 + 0.2*L23 + 0.15 *K23 + 0.05*I23</f>
        <v>0.35</v>
      </c>
      <c r="N23" s="2" t="n">
        <v>1</v>
      </c>
      <c r="O23" s="2" t="n">
        <v>0</v>
      </c>
      <c r="P23" s="2" t="n">
        <v>0</v>
      </c>
      <c r="Q23" s="2" t="n">
        <v>0</v>
      </c>
      <c r="R23" s="2" t="n">
        <v>0</v>
      </c>
      <c r="S23" s="3" t="n">
        <f aca="false">0.4 * O23 + 0.25*R23 + 0.2 *N23 + 0.15*P23</f>
        <v>0.2</v>
      </c>
      <c r="T23" s="3" t="n">
        <f aca="false">G23*M23</f>
        <v>0</v>
      </c>
      <c r="U23" s="3" t="n">
        <f aca="false">G23*S23</f>
        <v>0</v>
      </c>
      <c r="V23" s="3" t="n">
        <f aca="false">M23*S23</f>
        <v>0.07</v>
      </c>
      <c r="W23" s="3" t="n">
        <f aca="false">G23*M23*S23</f>
        <v>0</v>
      </c>
    </row>
    <row r="24" customFormat="false" ht="13.8" hidden="false" customHeight="false" outlineLevel="0" collapsed="false">
      <c r="A24" s="1" t="n">
        <v>43405</v>
      </c>
      <c r="B24" s="2" t="n">
        <v>11239.7159090909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f aca="false">0.45 * D24 + 0.2 * C24 + 0.2 * E24 + 0.15 *F24</f>
        <v>0</v>
      </c>
      <c r="H24" s="2" t="n">
        <v>1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f aca="false">0.35 * H24 + 0.25*J24 + 0.2*L24 + 0.15 *K24 + 0.05*I24</f>
        <v>0.35</v>
      </c>
      <c r="N24" s="2" t="n">
        <v>1</v>
      </c>
      <c r="O24" s="2" t="n">
        <v>0</v>
      </c>
      <c r="P24" s="2" t="n">
        <v>0</v>
      </c>
      <c r="Q24" s="2" t="n">
        <v>0</v>
      </c>
      <c r="R24" s="2" t="n">
        <v>0</v>
      </c>
      <c r="S24" s="3" t="n">
        <f aca="false">0.4 * O24 + 0.25*R24 + 0.2 *N24 + 0.15*P24</f>
        <v>0.2</v>
      </c>
      <c r="T24" s="3" t="n">
        <f aca="false">G24*M24</f>
        <v>0</v>
      </c>
      <c r="U24" s="3" t="n">
        <f aca="false">G24*S24</f>
        <v>0</v>
      </c>
      <c r="V24" s="3" t="n">
        <f aca="false">M24*S24</f>
        <v>0.07</v>
      </c>
      <c r="W24" s="3" t="n">
        <f aca="false">G24*M24*S24</f>
        <v>0</v>
      </c>
    </row>
    <row r="25" customFormat="false" ht="13.8" hidden="false" customHeight="false" outlineLevel="0" collapsed="false">
      <c r="A25" s="1" t="n">
        <v>43435</v>
      </c>
      <c r="B25" s="2" t="n">
        <v>10835.0789473684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f aca="false">0.45 * D25 + 0.2 * C25 + 0.2 * E25 + 0.15 *F25</f>
        <v>0</v>
      </c>
      <c r="H25" s="2" t="n">
        <v>1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f aca="false">0.35 * H25 + 0.25*J25 + 0.2*L25 + 0.15 *K25 + 0.05*I25</f>
        <v>0.35</v>
      </c>
      <c r="N25" s="2" t="n">
        <v>1</v>
      </c>
      <c r="O25" s="2" t="n">
        <v>0</v>
      </c>
      <c r="P25" s="2" t="n">
        <v>0</v>
      </c>
      <c r="Q25" s="2" t="n">
        <v>0</v>
      </c>
      <c r="R25" s="2" t="n">
        <v>0</v>
      </c>
      <c r="S25" s="3" t="n">
        <f aca="false">0.4 * O25 + 0.25*R25 + 0.2 *N25 + 0.15*P25</f>
        <v>0.2</v>
      </c>
      <c r="T25" s="3" t="n">
        <f aca="false">G25*M25</f>
        <v>0</v>
      </c>
      <c r="U25" s="3" t="n">
        <f aca="false">G25*S25</f>
        <v>0</v>
      </c>
      <c r="V25" s="3" t="n">
        <f aca="false">M25*S25</f>
        <v>0.07</v>
      </c>
      <c r="W25" s="3" t="n">
        <f aca="false">G25*M25*S25</f>
        <v>0</v>
      </c>
    </row>
    <row r="26" customFormat="false" ht="13.8" hidden="false" customHeight="false" outlineLevel="0" collapsed="false">
      <c r="A26" s="1" t="n">
        <v>43466</v>
      </c>
      <c r="B26" s="2" t="n">
        <v>11523.0909090909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f aca="false">0.45 * D26 + 0.2 * C26 + 0.2 * E26 + 0.15 *F26</f>
        <v>0</v>
      </c>
      <c r="H26" s="2" t="n">
        <v>1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f aca="false">0.35 * H26 + 0.25*J26 + 0.2*L26 + 0.15 *K26 + 0.05*I26</f>
        <v>0.35</v>
      </c>
      <c r="N26" s="2" t="n">
        <v>1</v>
      </c>
      <c r="O26" s="2" t="n">
        <v>0</v>
      </c>
      <c r="P26" s="2" t="n">
        <v>0</v>
      </c>
      <c r="Q26" s="2" t="n">
        <v>0</v>
      </c>
      <c r="R26" s="2" t="n">
        <v>0</v>
      </c>
      <c r="S26" s="3" t="n">
        <f aca="false">0.4 * O26 + 0.25*R26 + 0.2 *N26 + 0.15*P26</f>
        <v>0.2</v>
      </c>
      <c r="T26" s="3" t="n">
        <f aca="false">G26*M26</f>
        <v>0</v>
      </c>
      <c r="U26" s="3" t="n">
        <f aca="false">G26*S26</f>
        <v>0</v>
      </c>
      <c r="V26" s="3" t="n">
        <f aca="false">M26*S26</f>
        <v>0.07</v>
      </c>
      <c r="W26" s="3" t="n">
        <f aca="false">G26*M26*S26</f>
        <v>0</v>
      </c>
    </row>
    <row r="27" customFormat="false" ht="13.8" hidden="false" customHeight="false" outlineLevel="0" collapsed="false">
      <c r="A27" s="1" t="n">
        <v>43497</v>
      </c>
      <c r="B27" s="2" t="n">
        <v>12685.225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f aca="false">0.45 * D27 + 0.2 * C27 + 0.2 * E27 + 0.15 *F27</f>
        <v>0</v>
      </c>
      <c r="H27" s="2" t="n">
        <v>1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f aca="false">0.35 * H27 + 0.25*J27 + 0.2*L27 + 0.15 *K27 + 0.05*I27</f>
        <v>0.35</v>
      </c>
      <c r="N27" s="2" t="n">
        <v>1</v>
      </c>
      <c r="O27" s="2" t="n">
        <v>0</v>
      </c>
      <c r="P27" s="2" t="n">
        <v>0</v>
      </c>
      <c r="Q27" s="2" t="n">
        <v>0</v>
      </c>
      <c r="R27" s="2" t="n">
        <v>0</v>
      </c>
      <c r="S27" s="3" t="n">
        <f aca="false">0.4 * O27 + 0.25*R27 + 0.2 *N27 + 0.15*P27</f>
        <v>0.2</v>
      </c>
      <c r="T27" s="3" t="n">
        <f aca="false">G27*M27</f>
        <v>0</v>
      </c>
      <c r="U27" s="3" t="n">
        <f aca="false">G27*S27</f>
        <v>0</v>
      </c>
      <c r="V27" s="3" t="n">
        <f aca="false">M27*S27</f>
        <v>0.07</v>
      </c>
      <c r="W27" s="3" t="n">
        <f aca="false">G27*M27*S27</f>
        <v>0</v>
      </c>
    </row>
    <row r="28" customFormat="false" ht="13.8" hidden="false" customHeight="false" outlineLevel="0" collapsed="false">
      <c r="A28" s="1" t="n">
        <v>43525</v>
      </c>
      <c r="B28" s="2" t="n">
        <v>13026.2738095238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f aca="false">0.45 * D28 + 0.2 * C28 + 0.2 * E28 + 0.15 *F28</f>
        <v>0</v>
      </c>
      <c r="H28" s="2" t="n">
        <v>1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f aca="false">0.35 * H28 + 0.25*J28 + 0.2*L28 + 0.15 *K28 + 0.05*I28</f>
        <v>0.35</v>
      </c>
      <c r="N28" s="2" t="n">
        <v>1</v>
      </c>
      <c r="O28" s="2" t="n">
        <v>0</v>
      </c>
      <c r="P28" s="2" t="n">
        <v>0</v>
      </c>
      <c r="Q28" s="2" t="n">
        <v>0</v>
      </c>
      <c r="R28" s="2" t="n">
        <v>0</v>
      </c>
      <c r="S28" s="3" t="n">
        <f aca="false">0.4 * O28 + 0.25*R28 + 0.2 *N28 + 0.15*P28</f>
        <v>0.2</v>
      </c>
      <c r="T28" s="3" t="n">
        <f aca="false">G28*M28</f>
        <v>0</v>
      </c>
      <c r="U28" s="3" t="n">
        <f aca="false">G28*S28</f>
        <v>0</v>
      </c>
      <c r="V28" s="3" t="n">
        <f aca="false">M28*S28</f>
        <v>0.07</v>
      </c>
      <c r="W28" s="3" t="n">
        <f aca="false">G28*M28*S28</f>
        <v>0</v>
      </c>
    </row>
    <row r="29" customFormat="false" ht="13.8" hidden="false" customHeight="false" outlineLevel="0" collapsed="false">
      <c r="A29" s="1" t="n">
        <v>43556</v>
      </c>
      <c r="B29" s="2" t="n">
        <v>12772.7875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f aca="false">0.45 * D29 + 0.2 * C29 + 0.2 * E29 + 0.15 *F29</f>
        <v>0</v>
      </c>
      <c r="H29" s="2" t="n">
        <v>1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f aca="false">0.35 * H29 + 0.25*J29 + 0.2*L29 + 0.15 *K29 + 0.05*I29</f>
        <v>0.35</v>
      </c>
      <c r="N29" s="2" t="n">
        <v>1</v>
      </c>
      <c r="O29" s="2" t="n">
        <v>0</v>
      </c>
      <c r="P29" s="2" t="n">
        <v>0</v>
      </c>
      <c r="Q29" s="2" t="n">
        <v>0</v>
      </c>
      <c r="R29" s="2" t="n">
        <v>0</v>
      </c>
      <c r="S29" s="3" t="n">
        <f aca="false">0.4 * O29 + 0.25*R29 + 0.2 *N29 + 0.15*P29</f>
        <v>0.2</v>
      </c>
      <c r="T29" s="3" t="n">
        <f aca="false">G29*M29</f>
        <v>0</v>
      </c>
      <c r="U29" s="3" t="n">
        <f aca="false">G29*S29</f>
        <v>0</v>
      </c>
      <c r="V29" s="3" t="n">
        <f aca="false">M29*S29</f>
        <v>0.07</v>
      </c>
      <c r="W29" s="3" t="n">
        <f aca="false">G29*M29*S29</f>
        <v>0</v>
      </c>
    </row>
    <row r="30" customFormat="false" ht="13.8" hidden="false" customHeight="false" outlineLevel="0" collapsed="false">
      <c r="A30" s="1" t="n">
        <v>43586</v>
      </c>
      <c r="B30" s="2" t="n">
        <v>12016.3095238095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f aca="false">0.45 * D30 + 0.2 * C30 + 0.2 * E30 + 0.15 *F30</f>
        <v>0</v>
      </c>
      <c r="H30" s="2" t="n">
        <v>1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f aca="false">0.35 * H30 + 0.25*J30 + 0.2*L30 + 0.15 *K30 + 0.05*I30</f>
        <v>0.35</v>
      </c>
      <c r="N30" s="2" t="n">
        <v>1</v>
      </c>
      <c r="O30" s="2" t="n">
        <v>0</v>
      </c>
      <c r="P30" s="2" t="n">
        <v>0</v>
      </c>
      <c r="Q30" s="2" t="n">
        <v>0</v>
      </c>
      <c r="R30" s="2" t="n">
        <v>0</v>
      </c>
      <c r="S30" s="3" t="n">
        <f aca="false">0.4 * O30 + 0.25*R30 + 0.2 *N30 + 0.15*P30</f>
        <v>0.2</v>
      </c>
      <c r="T30" s="3" t="n">
        <f aca="false">G30*M30</f>
        <v>0</v>
      </c>
      <c r="U30" s="3" t="n">
        <f aca="false">G30*S30</f>
        <v>0</v>
      </c>
      <c r="V30" s="3" t="n">
        <f aca="false">M30*S30</f>
        <v>0.07</v>
      </c>
      <c r="W30" s="3" t="n">
        <f aca="false">G30*M30*S30</f>
        <v>0</v>
      </c>
    </row>
    <row r="31" customFormat="false" ht="13.8" hidden="false" customHeight="false" outlineLevel="0" collapsed="false">
      <c r="A31" s="1" t="n">
        <v>43617</v>
      </c>
      <c r="B31" s="2" t="n">
        <v>11943.9375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f aca="false">0.45 * D31 + 0.2 * C31 + 0.2 * E31 + 0.15 *F31</f>
        <v>0</v>
      </c>
      <c r="H31" s="2" t="n">
        <v>1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f aca="false">0.35 * H31 + 0.25*J31 + 0.2*L31 + 0.15 *K31 + 0.05*I31</f>
        <v>0.35</v>
      </c>
      <c r="N31" s="2" t="n">
        <v>1</v>
      </c>
      <c r="O31" s="2" t="n">
        <v>0</v>
      </c>
      <c r="P31" s="2" t="n">
        <v>0</v>
      </c>
      <c r="Q31" s="2" t="n">
        <v>0</v>
      </c>
      <c r="R31" s="2" t="n">
        <v>0</v>
      </c>
      <c r="S31" s="3" t="n">
        <f aca="false">0.4 * O31 + 0.25*R31 + 0.2 *N31 + 0.15*P31</f>
        <v>0.2</v>
      </c>
      <c r="T31" s="3" t="n">
        <f aca="false">G31*M31</f>
        <v>0</v>
      </c>
      <c r="U31" s="3" t="n">
        <f aca="false">G31*S31</f>
        <v>0</v>
      </c>
      <c r="V31" s="3" t="n">
        <f aca="false">M31*S31</f>
        <v>0.07</v>
      </c>
      <c r="W31" s="3" t="n">
        <f aca="false">G31*M31*S31</f>
        <v>0</v>
      </c>
    </row>
    <row r="32" customFormat="false" ht="13.8" hidden="false" customHeight="false" outlineLevel="0" collapsed="false">
      <c r="A32" s="1" t="n">
        <v>43647</v>
      </c>
      <c r="B32" s="2" t="n">
        <v>13546.304347826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f aca="false">0.45 * D32 + 0.2 * C32 + 0.2 * E32 + 0.15 *F32</f>
        <v>0</v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f aca="false">0.35 * H32 + 0.25*J32 + 0.2*L32 + 0.15 *K32 + 0.05*I32</f>
        <v>0.35</v>
      </c>
      <c r="N32" s="2" t="n">
        <v>1</v>
      </c>
      <c r="O32" s="2" t="n">
        <v>0</v>
      </c>
      <c r="P32" s="2" t="n">
        <v>0</v>
      </c>
      <c r="Q32" s="2" t="n">
        <v>0</v>
      </c>
      <c r="R32" s="2" t="n">
        <v>0</v>
      </c>
      <c r="S32" s="3" t="n">
        <f aca="false">0.4 * O32 + 0.25*R32 + 0.2 *N32 + 0.15*P32</f>
        <v>0.2</v>
      </c>
      <c r="T32" s="3" t="n">
        <f aca="false">G32*M32</f>
        <v>0</v>
      </c>
      <c r="U32" s="3" t="n">
        <f aca="false">G32*S32</f>
        <v>0</v>
      </c>
      <c r="V32" s="3" t="n">
        <f aca="false">M32*S32</f>
        <v>0.07</v>
      </c>
      <c r="W32" s="3" t="n">
        <f aca="false">G32*M32*S32</f>
        <v>0</v>
      </c>
    </row>
    <row r="33" customFormat="false" ht="13.8" hidden="false" customHeight="false" outlineLevel="0" collapsed="false">
      <c r="A33" s="1" t="n">
        <v>43678</v>
      </c>
      <c r="B33" s="2" t="n">
        <v>15748.6428571428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f aca="false">0.45 * D33 + 0.2 * C33 + 0.2 * E33 + 0.15 *F33</f>
        <v>0</v>
      </c>
      <c r="H33" s="2" t="n">
        <v>1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f aca="false">0.35 * H33 + 0.25*J33 + 0.2*L33 + 0.15 *K33 + 0.05*I33</f>
        <v>0.35</v>
      </c>
      <c r="N33" s="2" t="n">
        <v>1</v>
      </c>
      <c r="O33" s="2" t="n">
        <v>0</v>
      </c>
      <c r="P33" s="2" t="n">
        <v>0</v>
      </c>
      <c r="Q33" s="2" t="n">
        <v>0</v>
      </c>
      <c r="R33" s="2" t="n">
        <v>0</v>
      </c>
      <c r="S33" s="3" t="n">
        <f aca="false">0.4 * O33 + 0.25*R33 + 0.2 *N33 + 0.15*P33</f>
        <v>0.2</v>
      </c>
      <c r="T33" s="3" t="n">
        <f aca="false">G33*M33</f>
        <v>0</v>
      </c>
      <c r="U33" s="3" t="n">
        <f aca="false">G33*S33</f>
        <v>0</v>
      </c>
      <c r="V33" s="3" t="n">
        <f aca="false">M33*S33</f>
        <v>0.07</v>
      </c>
      <c r="W33" s="3" t="n">
        <f aca="false">G33*M33*S33</f>
        <v>0</v>
      </c>
    </row>
    <row r="34" customFormat="false" ht="13.8" hidden="false" customHeight="false" outlineLevel="0" collapsed="false">
      <c r="A34" s="1" t="n">
        <v>43709</v>
      </c>
      <c r="B34" s="2" t="n">
        <v>17656.8809523809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f aca="false">0.45 * D34 + 0.2 * C34 + 0.2 * E34 + 0.15 *F34</f>
        <v>0</v>
      </c>
      <c r="H34" s="2" t="n">
        <v>1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f aca="false">0.35 * H34 + 0.25*J34 + 0.2*L34 + 0.15 *K34 + 0.05*I34</f>
        <v>0.35</v>
      </c>
      <c r="N34" s="2" t="n">
        <v>1</v>
      </c>
      <c r="O34" s="2" t="n">
        <v>0</v>
      </c>
      <c r="P34" s="2" t="n">
        <v>0</v>
      </c>
      <c r="Q34" s="2" t="n">
        <v>0</v>
      </c>
      <c r="R34" s="2" t="n">
        <v>0</v>
      </c>
      <c r="S34" s="3" t="n">
        <f aca="false">0.4 * O34 + 0.25*R34 + 0.2 *N34 + 0.15*P34</f>
        <v>0.2</v>
      </c>
      <c r="T34" s="3" t="n">
        <f aca="false">G34*M34</f>
        <v>0</v>
      </c>
      <c r="U34" s="3" t="n">
        <f aca="false">G34*S34</f>
        <v>0</v>
      </c>
      <c r="V34" s="3" t="n">
        <f aca="false">M34*S34</f>
        <v>0.07</v>
      </c>
      <c r="W34" s="3" t="n">
        <f aca="false">G34*M34*S34</f>
        <v>0</v>
      </c>
    </row>
    <row r="35" customFormat="false" ht="13.8" hidden="false" customHeight="false" outlineLevel="0" collapsed="false">
      <c r="A35" s="1" t="n">
        <v>43739</v>
      </c>
      <c r="B35" s="2" t="n">
        <v>17046.2173913043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f aca="false">0.45 * D35 + 0.2 * C35 + 0.2 * E35 + 0.15 *F35</f>
        <v>0</v>
      </c>
      <c r="H35" s="2" t="n">
        <v>1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f aca="false">0.35 * H35 + 0.25*J35 + 0.2*L35 + 0.15 *K35 + 0.05*I35</f>
        <v>0.35</v>
      </c>
      <c r="N35" s="2" t="n">
        <v>1</v>
      </c>
      <c r="O35" s="2" t="n">
        <v>0</v>
      </c>
      <c r="P35" s="2" t="n">
        <v>0</v>
      </c>
      <c r="Q35" s="2" t="n">
        <v>0</v>
      </c>
      <c r="R35" s="2" t="n">
        <v>0</v>
      </c>
      <c r="S35" s="3" t="n">
        <f aca="false">0.4 * O35 + 0.25*R35 + 0.2 *N35 + 0.15*P35</f>
        <v>0.2</v>
      </c>
      <c r="T35" s="3" t="n">
        <f aca="false">G35*M35</f>
        <v>0</v>
      </c>
      <c r="U35" s="3" t="n">
        <f aca="false">G35*S35</f>
        <v>0</v>
      </c>
      <c r="V35" s="3" t="n">
        <f aca="false">M35*S35</f>
        <v>0.07</v>
      </c>
      <c r="W35" s="3" t="n">
        <f aca="false">G35*M35*S35</f>
        <v>0</v>
      </c>
    </row>
    <row r="36" customFormat="false" ht="13.8" hidden="false" customHeight="false" outlineLevel="0" collapsed="false">
      <c r="A36" s="1" t="n">
        <v>43770</v>
      </c>
      <c r="B36" s="2" t="n">
        <v>15171.8095238095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f aca="false">0.45 * D36 + 0.2 * C36 + 0.2 * E36 + 0.15 *F36</f>
        <v>0</v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f aca="false">0.35 * H36 + 0.25*J36 + 0.2*L36 + 0.15 *K36 + 0.05*I36</f>
        <v>0.35</v>
      </c>
      <c r="N36" s="2" t="n">
        <v>1</v>
      </c>
      <c r="O36" s="2" t="n">
        <v>0</v>
      </c>
      <c r="P36" s="2" t="n">
        <v>0</v>
      </c>
      <c r="Q36" s="2" t="n">
        <v>0</v>
      </c>
      <c r="R36" s="2" t="n">
        <v>0</v>
      </c>
      <c r="S36" s="3" t="n">
        <f aca="false">0.4 * O36 + 0.25*R36 + 0.2 *N36 + 0.15*P36</f>
        <v>0.2</v>
      </c>
      <c r="T36" s="3" t="n">
        <f aca="false">G36*M36</f>
        <v>0</v>
      </c>
      <c r="U36" s="3" t="n">
        <f aca="false">G36*S36</f>
        <v>0</v>
      </c>
      <c r="V36" s="3" t="n">
        <f aca="false">M36*S36</f>
        <v>0.07</v>
      </c>
      <c r="W36" s="3" t="n">
        <f aca="false">G36*M36*S36</f>
        <v>0</v>
      </c>
    </row>
    <row r="37" customFormat="false" ht="13.8" hidden="false" customHeight="false" outlineLevel="0" collapsed="false">
      <c r="A37" s="1" t="n">
        <v>43800</v>
      </c>
      <c r="B37" s="2" t="n">
        <v>13829.425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f aca="false">0.45 * D37 + 0.2 * C37 + 0.2 * E37 + 0.15 *F37</f>
        <v>0</v>
      </c>
      <c r="H37" s="2" t="n">
        <v>1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f aca="false">0.35 * H37 + 0.25*J37 + 0.2*L37 + 0.15 *K37 + 0.05*I37</f>
        <v>0.35</v>
      </c>
      <c r="N37" s="2" t="n">
        <v>1</v>
      </c>
      <c r="O37" s="2" t="n">
        <v>0</v>
      </c>
      <c r="P37" s="2" t="n">
        <v>0</v>
      </c>
      <c r="Q37" s="2" t="n">
        <v>0</v>
      </c>
      <c r="R37" s="2" t="n">
        <v>0</v>
      </c>
      <c r="S37" s="3" t="n">
        <f aca="false">0.4 * O37 + 0.25*R37 + 0.2 *N37 + 0.15*P37</f>
        <v>0.2</v>
      </c>
      <c r="T37" s="3" t="n">
        <f aca="false">G37*M37</f>
        <v>0</v>
      </c>
      <c r="U37" s="3" t="n">
        <f aca="false">G37*S37</f>
        <v>0</v>
      </c>
      <c r="V37" s="3" t="n">
        <f aca="false">M37*S37</f>
        <v>0.07</v>
      </c>
      <c r="W37" s="3" t="n">
        <f aca="false">G37*M37*S37</f>
        <v>0</v>
      </c>
    </row>
    <row r="38" customFormat="false" ht="13.8" hidden="false" customHeight="false" outlineLevel="0" collapsed="false">
      <c r="A38" s="1" t="n">
        <v>43831</v>
      </c>
      <c r="B38" s="2" t="n">
        <v>13506.8636363636</v>
      </c>
      <c r="C38" s="2" t="n">
        <v>1</v>
      </c>
      <c r="D38" s="2" t="n">
        <v>0</v>
      </c>
      <c r="E38" s="2" t="n">
        <v>0</v>
      </c>
      <c r="F38" s="2" t="n">
        <v>1</v>
      </c>
      <c r="G38" s="2" t="n">
        <f aca="false">0.45 * D38 + 0.2 * C38 + 0.2 * E38 + 0.15 *F38</f>
        <v>0.35</v>
      </c>
      <c r="H38" s="2" t="n">
        <v>1</v>
      </c>
      <c r="I38" s="2" t="n">
        <v>1</v>
      </c>
      <c r="J38" s="2" t="n">
        <v>0</v>
      </c>
      <c r="K38" s="2" t="n">
        <v>0</v>
      </c>
      <c r="L38" s="2" t="n">
        <v>0</v>
      </c>
      <c r="M38" s="2" t="n">
        <f aca="false">0.35 * H38 + 0.25*J38 + 0.2*L38 + 0.15 *K38 + 0.05*I38</f>
        <v>0.4</v>
      </c>
      <c r="N38" s="2" t="n">
        <v>1</v>
      </c>
      <c r="O38" s="2" t="n">
        <v>1</v>
      </c>
      <c r="P38" s="2" t="n">
        <v>0</v>
      </c>
      <c r="Q38" s="2" t="n">
        <v>0</v>
      </c>
      <c r="R38" s="2" t="n">
        <v>0</v>
      </c>
      <c r="S38" s="3" t="n">
        <f aca="false">0.4 * O38 + 0.25*R38 + 0.2 *N38 + 0.15*P38</f>
        <v>0.6</v>
      </c>
      <c r="T38" s="3" t="n">
        <f aca="false">G38*M38</f>
        <v>0.14</v>
      </c>
      <c r="U38" s="3" t="n">
        <f aca="false">G38*S38</f>
        <v>0.21</v>
      </c>
      <c r="V38" s="3" t="n">
        <f aca="false">M38*S38</f>
        <v>0.24</v>
      </c>
      <c r="W38" s="3" t="n">
        <f aca="false">G38*M38*S38</f>
        <v>0.084</v>
      </c>
    </row>
    <row r="39" customFormat="false" ht="13.8" hidden="false" customHeight="false" outlineLevel="0" collapsed="false">
      <c r="A39" s="1" t="n">
        <v>43862</v>
      </c>
      <c r="B39" s="2" t="n">
        <v>12715.55</v>
      </c>
      <c r="C39" s="2" t="n">
        <v>1</v>
      </c>
      <c r="D39" s="2" t="n">
        <v>0</v>
      </c>
      <c r="E39" s="2" t="n">
        <v>0</v>
      </c>
      <c r="F39" s="2" t="n">
        <v>1</v>
      </c>
      <c r="G39" s="2" t="n">
        <f aca="false">0.45 * D39 + 0.2 * C39 + 0.2 * E39 + 0.15 *F39</f>
        <v>0.35</v>
      </c>
      <c r="H39" s="2" t="n">
        <v>1</v>
      </c>
      <c r="I39" s="2" t="n">
        <v>1</v>
      </c>
      <c r="J39" s="2" t="n">
        <v>0</v>
      </c>
      <c r="K39" s="2" t="n">
        <v>0</v>
      </c>
      <c r="L39" s="2" t="n">
        <v>0</v>
      </c>
      <c r="M39" s="2" t="n">
        <f aca="false">0.35 * H39 + 0.25*J39 + 0.2*L39 + 0.15 *K39 + 0.05*I39</f>
        <v>0.4</v>
      </c>
      <c r="N39" s="2" t="n">
        <v>1</v>
      </c>
      <c r="O39" s="2" t="n">
        <v>1</v>
      </c>
      <c r="P39" s="2" t="n">
        <v>0</v>
      </c>
      <c r="Q39" s="2" t="n">
        <v>0</v>
      </c>
      <c r="R39" s="2" t="n">
        <v>0</v>
      </c>
      <c r="S39" s="3" t="n">
        <f aca="false">0.4 * O39 + 0.25*R39 + 0.2 *N39 + 0.15*P39</f>
        <v>0.6</v>
      </c>
      <c r="T39" s="3" t="n">
        <f aca="false">G39*M39</f>
        <v>0.14</v>
      </c>
      <c r="U39" s="3" t="n">
        <f aca="false">G39*S39</f>
        <v>0.21</v>
      </c>
      <c r="V39" s="3" t="n">
        <f aca="false">M39*S39</f>
        <v>0.24</v>
      </c>
      <c r="W39" s="3" t="n">
        <f aca="false">G39*M39*S39</f>
        <v>0.084</v>
      </c>
    </row>
    <row r="40" customFormat="false" ht="13.8" hidden="false" customHeight="false" outlineLevel="0" collapsed="false">
      <c r="A40" s="1" t="n">
        <v>43891</v>
      </c>
      <c r="B40" s="2" t="n">
        <v>11846.2272727272</v>
      </c>
      <c r="C40" s="2" t="n">
        <v>1</v>
      </c>
      <c r="D40" s="2" t="n">
        <v>0</v>
      </c>
      <c r="E40" s="2" t="n">
        <v>0</v>
      </c>
      <c r="F40" s="2" t="n">
        <v>1</v>
      </c>
      <c r="G40" s="2" t="n">
        <f aca="false">0.45 * D40 + 0.2 * C40 + 0.2 * E40 + 0.15 *F40</f>
        <v>0.35</v>
      </c>
      <c r="H40" s="2" t="n">
        <v>1</v>
      </c>
      <c r="I40" s="2" t="n">
        <v>1</v>
      </c>
      <c r="J40" s="2" t="n">
        <v>0</v>
      </c>
      <c r="K40" s="2" t="n">
        <v>0</v>
      </c>
      <c r="L40" s="2" t="n">
        <v>0</v>
      </c>
      <c r="M40" s="2" t="n">
        <f aca="false">0.35 * H40 + 0.25*J40 + 0.2*L40 + 0.15 *K40 + 0.05*I40</f>
        <v>0.4</v>
      </c>
      <c r="N40" s="2" t="n">
        <v>1</v>
      </c>
      <c r="O40" s="2" t="n">
        <v>1</v>
      </c>
      <c r="P40" s="2" t="n">
        <v>0</v>
      </c>
      <c r="Q40" s="2" t="n">
        <v>0</v>
      </c>
      <c r="R40" s="2" t="n">
        <v>0</v>
      </c>
      <c r="S40" s="3" t="n">
        <f aca="false">0.4 * O40 + 0.25*R40 + 0.2 *N40 + 0.15*P40</f>
        <v>0.6</v>
      </c>
      <c r="T40" s="3" t="n">
        <f aca="false">G40*M40</f>
        <v>0.14</v>
      </c>
      <c r="U40" s="3" t="n">
        <f aca="false">G40*S40</f>
        <v>0.21</v>
      </c>
      <c r="V40" s="3" t="n">
        <f aca="false">M40*S40</f>
        <v>0.24</v>
      </c>
      <c r="W40" s="3" t="n">
        <f aca="false">G40*M40*S40</f>
        <v>0.084</v>
      </c>
    </row>
    <row r="41" customFormat="false" ht="13.8" hidden="false" customHeight="false" outlineLevel="0" collapsed="false">
      <c r="A41" s="1" t="n">
        <v>43922</v>
      </c>
      <c r="B41" s="2" t="n">
        <v>11804.0095</v>
      </c>
      <c r="C41" s="2" t="n">
        <v>1</v>
      </c>
      <c r="D41" s="2" t="n">
        <v>0</v>
      </c>
      <c r="E41" s="2" t="n">
        <v>0</v>
      </c>
      <c r="F41" s="2" t="n">
        <v>1</v>
      </c>
      <c r="G41" s="2" t="n">
        <f aca="false">0.45 * D41 + 0.2 * C41 + 0.2 * E41 + 0.15 *F41</f>
        <v>0.35</v>
      </c>
      <c r="H41" s="2" t="n">
        <v>1</v>
      </c>
      <c r="I41" s="2" t="n">
        <v>1</v>
      </c>
      <c r="J41" s="2" t="n">
        <v>0</v>
      </c>
      <c r="K41" s="2" t="n">
        <v>0</v>
      </c>
      <c r="L41" s="2" t="n">
        <v>0</v>
      </c>
      <c r="M41" s="2" t="n">
        <f aca="false">0.35 * H41 + 0.25*J41 + 0.2*L41 + 0.15 *K41 + 0.05*I41</f>
        <v>0.4</v>
      </c>
      <c r="N41" s="2" t="n">
        <v>1</v>
      </c>
      <c r="O41" s="2" t="n">
        <v>1</v>
      </c>
      <c r="P41" s="2" t="n">
        <v>0</v>
      </c>
      <c r="Q41" s="2" t="n">
        <v>0</v>
      </c>
      <c r="R41" s="2" t="n">
        <v>0</v>
      </c>
      <c r="S41" s="3" t="n">
        <f aca="false">0.4 * O41 + 0.25*R41 + 0.2 *N41 + 0.15*P41</f>
        <v>0.6</v>
      </c>
      <c r="T41" s="3" t="n">
        <f aca="false">G41*M41</f>
        <v>0.14</v>
      </c>
      <c r="U41" s="3" t="n">
        <f aca="false">G41*S41</f>
        <v>0.21</v>
      </c>
      <c r="V41" s="3" t="n">
        <f aca="false">M41*S41</f>
        <v>0.24</v>
      </c>
      <c r="W41" s="3" t="n">
        <f aca="false">G41*M41*S41</f>
        <v>0.084</v>
      </c>
    </row>
    <row r="42" customFormat="false" ht="13.8" hidden="false" customHeight="false" outlineLevel="0" collapsed="false">
      <c r="A42" s="1" t="n">
        <v>43952</v>
      </c>
      <c r="B42" s="2" t="n">
        <v>12179.6052631578</v>
      </c>
      <c r="C42" s="2" t="n">
        <v>1</v>
      </c>
      <c r="D42" s="2" t="n">
        <v>0</v>
      </c>
      <c r="E42" s="2" t="n">
        <v>0</v>
      </c>
      <c r="F42" s="2" t="n">
        <v>1</v>
      </c>
      <c r="G42" s="2" t="n">
        <f aca="false">0.45 * D42 + 0.2 * C42 + 0.2 * E42 + 0.15 *F42</f>
        <v>0.35</v>
      </c>
      <c r="H42" s="2" t="n">
        <v>1</v>
      </c>
      <c r="I42" s="2" t="n">
        <v>1</v>
      </c>
      <c r="J42" s="2" t="n">
        <v>0</v>
      </c>
      <c r="K42" s="2" t="n">
        <v>0</v>
      </c>
      <c r="L42" s="2" t="n">
        <v>0</v>
      </c>
      <c r="M42" s="2" t="n">
        <f aca="false">0.35 * H42 + 0.25*J42 + 0.2*L42 + 0.15 *K42 + 0.05*I42</f>
        <v>0.4</v>
      </c>
      <c r="N42" s="2" t="n">
        <v>1</v>
      </c>
      <c r="O42" s="2" t="n">
        <v>1</v>
      </c>
      <c r="P42" s="2" t="n">
        <v>0</v>
      </c>
      <c r="Q42" s="2" t="n">
        <v>0</v>
      </c>
      <c r="R42" s="2" t="n">
        <v>0</v>
      </c>
      <c r="S42" s="3" t="n">
        <f aca="false">0.4 * O42 + 0.25*R42 + 0.2 *N42 + 0.15*P42</f>
        <v>0.6</v>
      </c>
      <c r="T42" s="3" t="n">
        <f aca="false">G42*M42</f>
        <v>0.14</v>
      </c>
      <c r="U42" s="3" t="n">
        <f aca="false">G42*S42</f>
        <v>0.21</v>
      </c>
      <c r="V42" s="3" t="n">
        <f aca="false">M42*S42</f>
        <v>0.24</v>
      </c>
      <c r="W42" s="3" t="n">
        <f aca="false">G42*M42*S42</f>
        <v>0.084</v>
      </c>
    </row>
    <row r="43" customFormat="false" ht="13.8" hidden="false" customHeight="false" outlineLevel="0" collapsed="false">
      <c r="A43" s="1" t="n">
        <v>43983</v>
      </c>
      <c r="B43" s="2" t="n">
        <v>12727.1522727272</v>
      </c>
      <c r="C43" s="2" t="n">
        <v>1</v>
      </c>
      <c r="D43" s="2" t="n">
        <v>0</v>
      </c>
      <c r="E43" s="2" t="n">
        <v>0</v>
      </c>
      <c r="F43" s="2" t="n">
        <v>1</v>
      </c>
      <c r="G43" s="2" t="n">
        <f aca="false">0.45 * D43 + 0.2 * C43 + 0.2 * E43 + 0.15 *F43</f>
        <v>0.35</v>
      </c>
      <c r="H43" s="2" t="n">
        <v>1</v>
      </c>
      <c r="I43" s="2" t="n">
        <v>1</v>
      </c>
      <c r="J43" s="2" t="n">
        <v>0</v>
      </c>
      <c r="K43" s="2" t="n">
        <v>0</v>
      </c>
      <c r="L43" s="2" t="n">
        <v>0</v>
      </c>
      <c r="M43" s="2" t="n">
        <f aca="false">0.35 * H43 + 0.25*J43 + 0.2*L43 + 0.15 *K43 + 0.05*I43</f>
        <v>0.4</v>
      </c>
      <c r="N43" s="2" t="n">
        <v>1</v>
      </c>
      <c r="O43" s="2" t="n">
        <v>1</v>
      </c>
      <c r="P43" s="2" t="n">
        <v>0</v>
      </c>
      <c r="Q43" s="2" t="n">
        <v>0</v>
      </c>
      <c r="R43" s="2" t="n">
        <v>0</v>
      </c>
      <c r="S43" s="3" t="n">
        <f aca="false">0.4 * O43 + 0.25*R43 + 0.2 *N43 + 0.15*P43</f>
        <v>0.6</v>
      </c>
      <c r="T43" s="3" t="n">
        <f aca="false">G43*M43</f>
        <v>0.14</v>
      </c>
      <c r="U43" s="3" t="n">
        <f aca="false">G43*S43</f>
        <v>0.21</v>
      </c>
      <c r="V43" s="3" t="n">
        <f aca="false">M43*S43</f>
        <v>0.24</v>
      </c>
      <c r="W43" s="3" t="n">
        <f aca="false">G43*M43*S43</f>
        <v>0.084</v>
      </c>
    </row>
    <row r="44" customFormat="false" ht="13.8" hidden="false" customHeight="false" outlineLevel="0" collapsed="false">
      <c r="A44" s="1" t="n">
        <v>44013</v>
      </c>
      <c r="B44" s="2" t="n">
        <v>13402.3039130434</v>
      </c>
      <c r="C44" s="2" t="n">
        <v>1</v>
      </c>
      <c r="D44" s="2" t="n">
        <v>0</v>
      </c>
      <c r="E44" s="2" t="n">
        <v>0</v>
      </c>
      <c r="F44" s="2" t="n">
        <v>1</v>
      </c>
      <c r="G44" s="2" t="n">
        <f aca="false">0.45 * D44 + 0.2 * C44 + 0.2 * E44 + 0.15 *F44</f>
        <v>0.35</v>
      </c>
      <c r="H44" s="2" t="n">
        <v>1</v>
      </c>
      <c r="I44" s="2" t="n">
        <v>1</v>
      </c>
      <c r="J44" s="2" t="n">
        <v>0</v>
      </c>
      <c r="K44" s="2" t="n">
        <v>0</v>
      </c>
      <c r="L44" s="2" t="n">
        <v>0</v>
      </c>
      <c r="M44" s="2" t="n">
        <f aca="false">0.35 * H44 + 0.25*J44 + 0.2*L44 + 0.15 *K44 + 0.05*I44</f>
        <v>0.4</v>
      </c>
      <c r="N44" s="2" t="n">
        <v>1</v>
      </c>
      <c r="O44" s="2" t="n">
        <v>1</v>
      </c>
      <c r="P44" s="2" t="n">
        <v>0</v>
      </c>
      <c r="Q44" s="2" t="n">
        <v>0</v>
      </c>
      <c r="R44" s="2" t="n">
        <v>0</v>
      </c>
      <c r="S44" s="3" t="n">
        <f aca="false">0.4 * O44 + 0.25*R44 + 0.2 *N44 + 0.15*P44</f>
        <v>0.6</v>
      </c>
      <c r="T44" s="3" t="n">
        <f aca="false">G44*M44</f>
        <v>0.14</v>
      </c>
      <c r="U44" s="3" t="n">
        <f aca="false">G44*S44</f>
        <v>0.21</v>
      </c>
      <c r="V44" s="3" t="n">
        <f aca="false">M44*S44</f>
        <v>0.24</v>
      </c>
      <c r="W44" s="3" t="n">
        <f aca="false">G44*M44*S44</f>
        <v>0.084</v>
      </c>
    </row>
    <row r="45" customFormat="false" ht="13.8" hidden="false" customHeight="false" outlineLevel="0" collapsed="false">
      <c r="A45" s="1" t="n">
        <v>44044</v>
      </c>
      <c r="B45" s="2" t="n">
        <v>14575.7828571428</v>
      </c>
      <c r="C45" s="2" t="n">
        <v>1</v>
      </c>
      <c r="D45" s="2" t="n">
        <v>0</v>
      </c>
      <c r="E45" s="2" t="n">
        <v>0</v>
      </c>
      <c r="F45" s="2" t="n">
        <v>1</v>
      </c>
      <c r="G45" s="2" t="n">
        <f aca="false">0.45 * D45 + 0.2 * C45 + 0.2 * E45 + 0.15 *F45</f>
        <v>0.35</v>
      </c>
      <c r="H45" s="2" t="n">
        <v>1</v>
      </c>
      <c r="I45" s="2" t="n">
        <v>1</v>
      </c>
      <c r="J45" s="2" t="n">
        <v>0</v>
      </c>
      <c r="K45" s="2" t="n">
        <v>0</v>
      </c>
      <c r="L45" s="2" t="n">
        <v>0</v>
      </c>
      <c r="M45" s="2" t="n">
        <f aca="false">0.35 * H45 + 0.25*J45 + 0.2*L45 + 0.15 *K45 + 0.05*I45</f>
        <v>0.4</v>
      </c>
      <c r="N45" s="2" t="n">
        <v>1</v>
      </c>
      <c r="O45" s="2" t="n">
        <v>1</v>
      </c>
      <c r="P45" s="2" t="n">
        <v>0</v>
      </c>
      <c r="Q45" s="2" t="n">
        <v>0</v>
      </c>
      <c r="R45" s="2" t="n">
        <v>0</v>
      </c>
      <c r="S45" s="3" t="n">
        <f aca="false">0.4 * O45 + 0.25*R45 + 0.2 *N45 + 0.15*P45</f>
        <v>0.6</v>
      </c>
      <c r="T45" s="3" t="n">
        <f aca="false">G45*M45</f>
        <v>0.14</v>
      </c>
      <c r="U45" s="3" t="n">
        <f aca="false">G45*S45</f>
        <v>0.21</v>
      </c>
      <c r="V45" s="3" t="n">
        <f aca="false">M45*S45</f>
        <v>0.24</v>
      </c>
      <c r="W45" s="3" t="n">
        <f aca="false">G45*M45*S45</f>
        <v>0.084</v>
      </c>
    </row>
    <row r="46" customFormat="false" ht="13.8" hidden="false" customHeight="false" outlineLevel="0" collapsed="false">
      <c r="A46" s="1" t="n">
        <v>44075</v>
      </c>
      <c r="B46" s="2" t="n">
        <v>14857.4886363636</v>
      </c>
      <c r="C46" s="2" t="n">
        <v>1</v>
      </c>
      <c r="D46" s="2" t="n">
        <v>0</v>
      </c>
      <c r="E46" s="2" t="n">
        <v>0</v>
      </c>
      <c r="F46" s="2" t="n">
        <v>1</v>
      </c>
      <c r="G46" s="2" t="n">
        <f aca="false">0.45 * D46 + 0.2 * C46 + 0.2 * E46 + 0.15 *F46</f>
        <v>0.35</v>
      </c>
      <c r="H46" s="2" t="n">
        <v>1</v>
      </c>
      <c r="I46" s="2" t="n">
        <v>1</v>
      </c>
      <c r="J46" s="2" t="n">
        <v>0</v>
      </c>
      <c r="K46" s="2" t="n">
        <v>0</v>
      </c>
      <c r="L46" s="2" t="n">
        <v>0</v>
      </c>
      <c r="M46" s="2" t="n">
        <f aca="false">0.35 * H46 + 0.25*J46 + 0.2*L46 + 0.15 *K46 + 0.05*I46</f>
        <v>0.4</v>
      </c>
      <c r="N46" s="2" t="n">
        <v>1</v>
      </c>
      <c r="O46" s="2" t="n">
        <v>1</v>
      </c>
      <c r="P46" s="2" t="n">
        <v>0</v>
      </c>
      <c r="Q46" s="2" t="n">
        <v>0</v>
      </c>
      <c r="R46" s="2" t="n">
        <v>0</v>
      </c>
      <c r="S46" s="3" t="n">
        <f aca="false">0.4 * O46 + 0.25*R46 + 0.2 *N46 + 0.15*P46</f>
        <v>0.6</v>
      </c>
      <c r="T46" s="3" t="n">
        <f aca="false">G46*M46</f>
        <v>0.14</v>
      </c>
      <c r="U46" s="3" t="n">
        <f aca="false">G46*S46</f>
        <v>0.21</v>
      </c>
      <c r="V46" s="3" t="n">
        <f aca="false">M46*S46</f>
        <v>0.24</v>
      </c>
      <c r="W46" s="3" t="n">
        <f aca="false">G46*M46*S46</f>
        <v>0.084</v>
      </c>
    </row>
    <row r="47" customFormat="false" ht="13.8" hidden="false" customHeight="false" outlineLevel="0" collapsed="false">
      <c r="A47" s="1" t="n">
        <v>44105</v>
      </c>
      <c r="B47" s="2" t="n">
        <v>15239.3636363636</v>
      </c>
      <c r="C47" s="2" t="n">
        <v>1</v>
      </c>
      <c r="D47" s="2" t="n">
        <v>0</v>
      </c>
      <c r="E47" s="2" t="n">
        <v>0</v>
      </c>
      <c r="F47" s="2" t="n">
        <v>1</v>
      </c>
      <c r="G47" s="2" t="n">
        <f aca="false">0.45 * D47 + 0.2 * C47 + 0.2 * E47 + 0.15 *F47</f>
        <v>0.35</v>
      </c>
      <c r="H47" s="2" t="n">
        <v>1</v>
      </c>
      <c r="I47" s="2" t="n">
        <v>1</v>
      </c>
      <c r="J47" s="2" t="n">
        <v>0</v>
      </c>
      <c r="K47" s="2" t="n">
        <v>0</v>
      </c>
      <c r="L47" s="2" t="n">
        <v>0</v>
      </c>
      <c r="M47" s="2" t="n">
        <f aca="false">0.35 * H47 + 0.25*J47 + 0.2*L47 + 0.15 *K47 + 0.05*I47</f>
        <v>0.4</v>
      </c>
      <c r="N47" s="2" t="n">
        <v>1</v>
      </c>
      <c r="O47" s="2" t="n">
        <v>1</v>
      </c>
      <c r="P47" s="2" t="n">
        <v>0</v>
      </c>
      <c r="Q47" s="2" t="n">
        <v>0</v>
      </c>
      <c r="R47" s="2" t="n">
        <v>0</v>
      </c>
      <c r="S47" s="3" t="n">
        <f aca="false">0.4 * O47 + 0.25*R47 + 0.2 *N47 + 0.15*P47</f>
        <v>0.6</v>
      </c>
      <c r="T47" s="3" t="n">
        <f aca="false">G47*M47</f>
        <v>0.14</v>
      </c>
      <c r="U47" s="3" t="n">
        <f aca="false">G47*S47</f>
        <v>0.21</v>
      </c>
      <c r="V47" s="3" t="n">
        <f aca="false">M47*S47</f>
        <v>0.24</v>
      </c>
      <c r="W47" s="3" t="n">
        <f aca="false">G47*M47*S47</f>
        <v>0.084</v>
      </c>
    </row>
    <row r="48" customFormat="false" ht="13.8" hidden="false" customHeight="false" outlineLevel="0" collapsed="false">
      <c r="A48" s="1" t="n">
        <v>44136</v>
      </c>
      <c r="B48" s="2" t="n">
        <v>15807.7333333333</v>
      </c>
      <c r="C48" s="2" t="n">
        <v>1</v>
      </c>
      <c r="D48" s="2" t="n">
        <v>0</v>
      </c>
      <c r="E48" s="2" t="n">
        <v>0</v>
      </c>
      <c r="F48" s="2" t="n">
        <v>1</v>
      </c>
      <c r="G48" s="2" t="n">
        <f aca="false">0.45 * D48 + 0.2 * C48 + 0.2 * E48 + 0.15 *F48</f>
        <v>0.35</v>
      </c>
      <c r="H48" s="2" t="n">
        <v>1</v>
      </c>
      <c r="I48" s="2" t="n">
        <v>1</v>
      </c>
      <c r="J48" s="2" t="n">
        <v>0</v>
      </c>
      <c r="K48" s="2" t="n">
        <v>0</v>
      </c>
      <c r="L48" s="2" t="n">
        <v>0</v>
      </c>
      <c r="M48" s="2" t="n">
        <f aca="false">0.35 * H48 + 0.25*J48 + 0.2*L48 + 0.15 *K48 + 0.05*I48</f>
        <v>0.4</v>
      </c>
      <c r="N48" s="2" t="n">
        <v>1</v>
      </c>
      <c r="O48" s="2" t="n">
        <v>1</v>
      </c>
      <c r="P48" s="2" t="n">
        <v>1</v>
      </c>
      <c r="Q48" s="2" t="n">
        <v>0</v>
      </c>
      <c r="R48" s="2" t="n">
        <v>0</v>
      </c>
      <c r="S48" s="3" t="n">
        <f aca="false">0.4 * O48 + 0.25*R48 + 0.2 *N48 + 0.15*P48</f>
        <v>0.75</v>
      </c>
      <c r="T48" s="3" t="n">
        <f aca="false">G48*M48</f>
        <v>0.14</v>
      </c>
      <c r="U48" s="3" t="n">
        <f aca="false">G48*S48</f>
        <v>0.2625</v>
      </c>
      <c r="V48" s="3" t="n">
        <f aca="false">M48*S48</f>
        <v>0.3</v>
      </c>
      <c r="W48" s="3" t="n">
        <f aca="false">G48*M48*S48</f>
        <v>0.105</v>
      </c>
    </row>
    <row r="49" customFormat="false" ht="13.8" hidden="false" customHeight="false" outlineLevel="0" collapsed="false">
      <c r="A49" s="1" t="n">
        <v>44166</v>
      </c>
      <c r="B49" s="2" t="n">
        <v>16823.0385714285</v>
      </c>
      <c r="C49" s="2" t="n">
        <v>1</v>
      </c>
      <c r="D49" s="2" t="n">
        <v>0</v>
      </c>
      <c r="E49" s="2" t="n">
        <v>0</v>
      </c>
      <c r="F49" s="2" t="n">
        <v>1</v>
      </c>
      <c r="G49" s="2" t="n">
        <f aca="false">0.45 * D49 + 0.2 * C49 + 0.2 * E49 + 0.15 *F49</f>
        <v>0.35</v>
      </c>
      <c r="H49" s="2" t="n">
        <v>1</v>
      </c>
      <c r="I49" s="2" t="n">
        <v>1</v>
      </c>
      <c r="J49" s="2" t="n">
        <v>0</v>
      </c>
      <c r="K49" s="2" t="n">
        <v>0</v>
      </c>
      <c r="L49" s="2" t="n">
        <v>0</v>
      </c>
      <c r="M49" s="2" t="n">
        <f aca="false">0.35 * H49 + 0.25*J49 + 0.2*L49 + 0.15 *K49 + 0.05*I49</f>
        <v>0.4</v>
      </c>
      <c r="N49" s="2" t="n">
        <v>1</v>
      </c>
      <c r="O49" s="2" t="n">
        <v>1</v>
      </c>
      <c r="P49" s="2" t="n">
        <v>1</v>
      </c>
      <c r="Q49" s="2" t="n">
        <v>0</v>
      </c>
      <c r="R49" s="2" t="n">
        <v>0</v>
      </c>
      <c r="S49" s="3" t="n">
        <f aca="false">0.4 * O49 + 0.25*R49 + 0.2 *N49 + 0.15*P49</f>
        <v>0.75</v>
      </c>
      <c r="T49" s="3" t="n">
        <f aca="false">G49*M49</f>
        <v>0.14</v>
      </c>
      <c r="U49" s="3" t="n">
        <f aca="false">G49*S49</f>
        <v>0.2625</v>
      </c>
      <c r="V49" s="3" t="n">
        <f aca="false">M49*S49</f>
        <v>0.3</v>
      </c>
      <c r="W49" s="3" t="n">
        <f aca="false">G49*M49*S49</f>
        <v>0.105</v>
      </c>
    </row>
    <row r="50" customFormat="false" ht="13.8" hidden="false" customHeight="false" outlineLevel="0" collapsed="false">
      <c r="A50" s="1" t="n">
        <v>44197</v>
      </c>
      <c r="B50" s="2" t="n">
        <v>17863.176</v>
      </c>
      <c r="C50" s="2" t="n">
        <v>1</v>
      </c>
      <c r="D50" s="2" t="n">
        <v>0</v>
      </c>
      <c r="E50" s="2" t="n">
        <v>0</v>
      </c>
      <c r="F50" s="2" t="n">
        <v>1</v>
      </c>
      <c r="G50" s="2" t="n">
        <f aca="false">0.45 * D50 + 0.2 * C50 + 0.2 * E50 + 0.15 *F50</f>
        <v>0.35</v>
      </c>
      <c r="H50" s="2" t="n">
        <v>1</v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f aca="false">0.35 * H50 + 0.25*J50 + 0.2*L50 + 0.15 *K50 + 0.05*I50</f>
        <v>0.4</v>
      </c>
      <c r="N50" s="2" t="n">
        <v>1</v>
      </c>
      <c r="O50" s="2" t="n">
        <v>1</v>
      </c>
      <c r="P50" s="2" t="n">
        <v>1</v>
      </c>
      <c r="Q50" s="2" t="n">
        <v>0</v>
      </c>
      <c r="R50" s="2" t="n">
        <v>0</v>
      </c>
      <c r="S50" s="3" t="n">
        <f aca="false">0.4 * O50 + 0.25*R50 + 0.2 *N50 + 0.15*P50</f>
        <v>0.75</v>
      </c>
      <c r="T50" s="3" t="n">
        <f aca="false">G50*M50</f>
        <v>0.14</v>
      </c>
      <c r="U50" s="3" t="n">
        <f aca="false">G50*S50</f>
        <v>0.2625</v>
      </c>
      <c r="V50" s="3" t="n">
        <f aca="false">M50*S50</f>
        <v>0.3</v>
      </c>
      <c r="W50" s="3" t="n">
        <f aca="false">G50*M50*S50</f>
        <v>0.105</v>
      </c>
    </row>
    <row r="51" customFormat="false" ht="13.8" hidden="false" customHeight="false" outlineLevel="0" collapsed="false">
      <c r="A51" s="1" t="n">
        <v>44228</v>
      </c>
      <c r="B51" s="2" t="n">
        <v>18584.38</v>
      </c>
      <c r="C51" s="2" t="n">
        <v>1</v>
      </c>
      <c r="D51" s="2" t="n">
        <v>0</v>
      </c>
      <c r="E51" s="2" t="n">
        <v>0</v>
      </c>
      <c r="F51" s="2" t="n">
        <v>1</v>
      </c>
      <c r="G51" s="2" t="n">
        <f aca="false">0.45 * D51 + 0.2 * C51 + 0.2 * E51 + 0.15 *F51</f>
        <v>0.35</v>
      </c>
      <c r="H51" s="2" t="n">
        <v>1</v>
      </c>
      <c r="I51" s="2" t="n">
        <v>1</v>
      </c>
      <c r="J51" s="2" t="n">
        <v>0</v>
      </c>
      <c r="K51" s="2" t="n">
        <v>0</v>
      </c>
      <c r="L51" s="2" t="n">
        <v>0</v>
      </c>
      <c r="M51" s="2" t="n">
        <f aca="false">0.35 * H51 + 0.25*J51 + 0.2*L51 + 0.15 *K51 + 0.05*I51</f>
        <v>0.4</v>
      </c>
      <c r="N51" s="2" t="n">
        <v>1</v>
      </c>
      <c r="O51" s="2" t="n">
        <v>1</v>
      </c>
      <c r="P51" s="2" t="n">
        <v>1</v>
      </c>
      <c r="Q51" s="2" t="n">
        <v>0</v>
      </c>
      <c r="R51" s="2" t="n">
        <v>0</v>
      </c>
      <c r="S51" s="3" t="n">
        <f aca="false">0.4 * O51 + 0.25*R51 + 0.2 *N51 + 0.15*P51</f>
        <v>0.75</v>
      </c>
      <c r="T51" s="3" t="n">
        <f aca="false">G51*M51</f>
        <v>0.14</v>
      </c>
      <c r="U51" s="3" t="n">
        <f aca="false">G51*S51</f>
        <v>0.2625</v>
      </c>
      <c r="V51" s="3" t="n">
        <f aca="false">M51*S51</f>
        <v>0.3</v>
      </c>
      <c r="W51" s="3" t="n">
        <f aca="false">G51*M51*S51</f>
        <v>0.105</v>
      </c>
    </row>
    <row r="52" customFormat="false" ht="13.8" hidden="false" customHeight="false" outlineLevel="0" collapsed="false">
      <c r="A52" s="1" t="n">
        <v>44256</v>
      </c>
      <c r="B52" s="2" t="n">
        <v>16406.6604347826</v>
      </c>
      <c r="C52" s="2" t="n">
        <v>1</v>
      </c>
      <c r="D52" s="2" t="n">
        <v>0</v>
      </c>
      <c r="E52" s="2" t="n">
        <v>0</v>
      </c>
      <c r="F52" s="2" t="n">
        <v>1</v>
      </c>
      <c r="G52" s="2" t="n">
        <f aca="false">0.45 * D52 + 0.2 * C52 + 0.2 * E52 + 0.15 *F52</f>
        <v>0.35</v>
      </c>
      <c r="H52" s="2" t="n">
        <v>1</v>
      </c>
      <c r="I52" s="2" t="n">
        <v>1</v>
      </c>
      <c r="J52" s="2" t="n">
        <v>0</v>
      </c>
      <c r="K52" s="2" t="n">
        <v>0</v>
      </c>
      <c r="L52" s="2" t="n">
        <v>0</v>
      </c>
      <c r="M52" s="2" t="n">
        <f aca="false">0.35 * H52 + 0.25*J52 + 0.2*L52 + 0.15 *K52 + 0.05*I52</f>
        <v>0.4</v>
      </c>
      <c r="N52" s="2" t="n">
        <v>1</v>
      </c>
      <c r="O52" s="2" t="n">
        <v>1</v>
      </c>
      <c r="P52" s="2" t="n">
        <v>1</v>
      </c>
      <c r="Q52" s="2" t="n">
        <v>0</v>
      </c>
      <c r="R52" s="2" t="n">
        <v>0</v>
      </c>
      <c r="S52" s="3" t="n">
        <f aca="false">0.4 * O52 + 0.25*R52 + 0.2 *N52 + 0.15*P52</f>
        <v>0.75</v>
      </c>
      <c r="T52" s="3" t="n">
        <f aca="false">G52*M52</f>
        <v>0.14</v>
      </c>
      <c r="U52" s="3" t="n">
        <f aca="false">G52*S52</f>
        <v>0.2625</v>
      </c>
      <c r="V52" s="3" t="n">
        <f aca="false">M52*S52</f>
        <v>0.3</v>
      </c>
      <c r="W52" s="3" t="n">
        <f aca="false">G52*M52*S52</f>
        <v>0.105</v>
      </c>
    </row>
    <row r="53" customFormat="false" ht="13.8" hidden="false" customHeight="false" outlineLevel="0" collapsed="false">
      <c r="A53" s="1" t="n">
        <v>44287</v>
      </c>
      <c r="B53" s="2" t="n">
        <v>16521.25</v>
      </c>
      <c r="C53" s="2" t="n">
        <v>1</v>
      </c>
      <c r="D53" s="2" t="n">
        <v>0</v>
      </c>
      <c r="E53" s="2" t="n">
        <v>0</v>
      </c>
      <c r="F53" s="2" t="n">
        <v>1</v>
      </c>
      <c r="G53" s="2" t="n">
        <f aca="false">0.45 * D53 + 0.2 * C53 + 0.2 * E53 + 0.15 *F53</f>
        <v>0.35</v>
      </c>
      <c r="H53" s="2" t="n">
        <v>1</v>
      </c>
      <c r="I53" s="2" t="n">
        <v>1</v>
      </c>
      <c r="J53" s="2" t="n">
        <v>0</v>
      </c>
      <c r="K53" s="2" t="n">
        <v>0</v>
      </c>
      <c r="L53" s="2" t="n">
        <v>0</v>
      </c>
      <c r="M53" s="2" t="n">
        <f aca="false">0.35 * H53 + 0.25*J53 + 0.2*L53 + 0.15 *K53 + 0.05*I53</f>
        <v>0.4</v>
      </c>
      <c r="N53" s="2" t="n">
        <v>1</v>
      </c>
      <c r="O53" s="2" t="n">
        <v>1</v>
      </c>
      <c r="P53" s="2" t="n">
        <v>1</v>
      </c>
      <c r="Q53" s="2" t="n">
        <v>0</v>
      </c>
      <c r="R53" s="2" t="n">
        <v>0</v>
      </c>
      <c r="S53" s="3" t="n">
        <f aca="false">0.4 * O53 + 0.25*R53 + 0.2 *N53 + 0.15*P53</f>
        <v>0.75</v>
      </c>
      <c r="T53" s="3" t="n">
        <f aca="false">G53*M53</f>
        <v>0.14</v>
      </c>
      <c r="U53" s="3" t="n">
        <f aca="false">G53*S53</f>
        <v>0.2625</v>
      </c>
      <c r="V53" s="3" t="n">
        <f aca="false">M53*S53</f>
        <v>0.3</v>
      </c>
      <c r="W53" s="3" t="n">
        <f aca="false">G53*M53*S53</f>
        <v>0.105</v>
      </c>
    </row>
    <row r="54" customFormat="false" ht="13.8" hidden="false" customHeight="false" outlineLevel="0" collapsed="false">
      <c r="A54" s="1" t="n">
        <v>44317</v>
      </c>
      <c r="B54" s="2" t="n">
        <v>17602.1025</v>
      </c>
      <c r="C54" s="2" t="n">
        <v>1</v>
      </c>
      <c r="D54" s="2" t="n">
        <v>0</v>
      </c>
      <c r="E54" s="2" t="n">
        <v>0</v>
      </c>
      <c r="F54" s="2" t="n">
        <v>1</v>
      </c>
      <c r="G54" s="2" t="n">
        <f aca="false">0.45 * D54 + 0.2 * C54 + 0.2 * E54 + 0.15 *F54</f>
        <v>0.35</v>
      </c>
      <c r="H54" s="2" t="n">
        <v>1</v>
      </c>
      <c r="I54" s="2" t="n">
        <v>1</v>
      </c>
      <c r="J54" s="2" t="n">
        <v>0</v>
      </c>
      <c r="K54" s="2" t="n">
        <v>0</v>
      </c>
      <c r="L54" s="2" t="n">
        <v>0</v>
      </c>
      <c r="M54" s="2" t="n">
        <f aca="false">0.35 * H54 + 0.25*J54 + 0.2*L54 + 0.15 *K54 + 0.05*I54</f>
        <v>0.4</v>
      </c>
      <c r="N54" s="2" t="n">
        <v>1</v>
      </c>
      <c r="O54" s="2" t="n">
        <v>1</v>
      </c>
      <c r="P54" s="2" t="n">
        <v>1</v>
      </c>
      <c r="Q54" s="2" t="n">
        <v>0</v>
      </c>
      <c r="R54" s="2" t="n">
        <v>0</v>
      </c>
      <c r="S54" s="3" t="n">
        <f aca="false">0.4 * O54 + 0.25*R54 + 0.2 *N54 + 0.15*P54</f>
        <v>0.75</v>
      </c>
      <c r="T54" s="3" t="n">
        <f aca="false">G54*M54</f>
        <v>0.14</v>
      </c>
      <c r="U54" s="3" t="n">
        <f aca="false">G54*S54</f>
        <v>0.2625</v>
      </c>
      <c r="V54" s="3" t="n">
        <f aca="false">M54*S54</f>
        <v>0.3</v>
      </c>
      <c r="W54" s="3" t="n">
        <f aca="false">G54*M54*S54</f>
        <v>0.105</v>
      </c>
    </row>
    <row r="55" customFormat="false" ht="13.8" hidden="false" customHeight="false" outlineLevel="0" collapsed="false">
      <c r="A55" s="1" t="n">
        <v>44348</v>
      </c>
      <c r="B55" s="2" t="n">
        <v>17979.5659090909</v>
      </c>
      <c r="C55" s="2" t="n">
        <v>1</v>
      </c>
      <c r="D55" s="2" t="n">
        <v>0</v>
      </c>
      <c r="E55" s="2" t="n">
        <v>0</v>
      </c>
      <c r="F55" s="2" t="n">
        <v>1</v>
      </c>
      <c r="G55" s="2" t="n">
        <f aca="false">0.45 * D55 + 0.2 * C55 + 0.2 * E55 + 0.15 *F55</f>
        <v>0.35</v>
      </c>
      <c r="H55" s="2" t="n">
        <v>1</v>
      </c>
      <c r="I55" s="2" t="n">
        <v>1</v>
      </c>
      <c r="J55" s="2" t="n">
        <v>0</v>
      </c>
      <c r="K55" s="2" t="n">
        <v>0</v>
      </c>
      <c r="L55" s="2" t="n">
        <v>0</v>
      </c>
      <c r="M55" s="2" t="n">
        <f aca="false">0.35 * H55 + 0.25*J55 + 0.2*L55 + 0.15 *K55 + 0.05*I55</f>
        <v>0.4</v>
      </c>
      <c r="N55" s="2" t="n">
        <v>1</v>
      </c>
      <c r="O55" s="2" t="n">
        <v>1</v>
      </c>
      <c r="P55" s="2" t="n">
        <v>1</v>
      </c>
      <c r="Q55" s="2" t="n">
        <v>0</v>
      </c>
      <c r="R55" s="2" t="n">
        <v>0</v>
      </c>
      <c r="S55" s="3" t="n">
        <f aca="false">0.4 * O55 + 0.25*R55 + 0.2 *N55 + 0.15*P55</f>
        <v>0.75</v>
      </c>
      <c r="T55" s="3" t="n">
        <f aca="false">G55*M55</f>
        <v>0.14</v>
      </c>
      <c r="U55" s="3" t="n">
        <f aca="false">G55*S55</f>
        <v>0.2625</v>
      </c>
      <c r="V55" s="3" t="n">
        <f aca="false">M55*S55</f>
        <v>0.3</v>
      </c>
      <c r="W55" s="3" t="n">
        <f aca="false">G55*M55*S55</f>
        <v>0.105</v>
      </c>
    </row>
    <row r="56" customFormat="false" ht="13.8" hidden="false" customHeight="false" outlineLevel="0" collapsed="false">
      <c r="A56" s="1" t="n">
        <v>44378</v>
      </c>
      <c r="B56" s="2" t="n">
        <v>18818.5113636363</v>
      </c>
      <c r="C56" s="2" t="n">
        <v>1</v>
      </c>
      <c r="D56" s="2" t="n">
        <v>0</v>
      </c>
      <c r="E56" s="2" t="n">
        <v>0</v>
      </c>
      <c r="F56" s="2" t="n">
        <v>1</v>
      </c>
      <c r="G56" s="2" t="n">
        <f aca="false">0.45 * D56 + 0.2 * C56 + 0.2 * E56 + 0.15 *F56</f>
        <v>0.35</v>
      </c>
      <c r="H56" s="2" t="n">
        <v>1</v>
      </c>
      <c r="I56" s="2" t="n">
        <v>1</v>
      </c>
      <c r="J56" s="2" t="n">
        <v>0</v>
      </c>
      <c r="K56" s="2" t="n">
        <v>0</v>
      </c>
      <c r="L56" s="2" t="n">
        <v>0</v>
      </c>
      <c r="M56" s="2" t="n">
        <f aca="false">0.35 * H56 + 0.25*J56 + 0.2*L56 + 0.15 *K56 + 0.05*I56</f>
        <v>0.4</v>
      </c>
      <c r="N56" s="2" t="n">
        <v>1</v>
      </c>
      <c r="O56" s="2" t="n">
        <v>1</v>
      </c>
      <c r="P56" s="2" t="n">
        <v>1</v>
      </c>
      <c r="Q56" s="2" t="n">
        <v>0</v>
      </c>
      <c r="R56" s="2" t="n">
        <v>0</v>
      </c>
      <c r="S56" s="3" t="n">
        <f aca="false">0.4 * O56 + 0.25*R56 + 0.2 *N56 + 0.15*P56</f>
        <v>0.75</v>
      </c>
      <c r="T56" s="3" t="n">
        <f aca="false">G56*M56</f>
        <v>0.14</v>
      </c>
      <c r="U56" s="3" t="n">
        <f aca="false">G56*S56</f>
        <v>0.2625</v>
      </c>
      <c r="V56" s="3" t="n">
        <f aca="false">M56*S56</f>
        <v>0.3</v>
      </c>
      <c r="W56" s="3" t="n">
        <f aca="false">G56*M56*S56</f>
        <v>0.105</v>
      </c>
    </row>
    <row r="57" customFormat="false" ht="13.8" hidden="false" customHeight="false" outlineLevel="0" collapsed="false">
      <c r="A57" s="1" t="n">
        <v>44409</v>
      </c>
      <c r="B57" s="2" t="n">
        <v>19141.2966666666</v>
      </c>
      <c r="C57" s="2" t="n">
        <v>1</v>
      </c>
      <c r="D57" s="2" t="n">
        <v>0</v>
      </c>
      <c r="E57" s="2" t="n">
        <v>0</v>
      </c>
      <c r="F57" s="2" t="n">
        <v>1</v>
      </c>
      <c r="G57" s="2" t="n">
        <f aca="false">0.45 * D57 + 0.2 * C57 + 0.2 * E57 + 0.15 *F57</f>
        <v>0.35</v>
      </c>
      <c r="H57" s="2" t="n">
        <v>1</v>
      </c>
      <c r="I57" s="2" t="n">
        <v>1</v>
      </c>
      <c r="J57" s="2" t="n">
        <v>0</v>
      </c>
      <c r="K57" s="2" t="n">
        <v>0</v>
      </c>
      <c r="L57" s="2" t="n">
        <v>0</v>
      </c>
      <c r="M57" s="2" t="n">
        <f aca="false">0.35 * H57 + 0.25*J57 + 0.2*L57 + 0.15 *K57 + 0.05*I57</f>
        <v>0.4</v>
      </c>
      <c r="N57" s="2" t="n">
        <v>1</v>
      </c>
      <c r="O57" s="2" t="n">
        <v>1</v>
      </c>
      <c r="P57" s="2" t="n">
        <v>1</v>
      </c>
      <c r="Q57" s="2" t="n">
        <v>0</v>
      </c>
      <c r="R57" s="2" t="n">
        <v>0</v>
      </c>
      <c r="S57" s="3" t="n">
        <f aca="false">0.4 * O57 + 0.25*R57 + 0.2 *N57 + 0.15*P57</f>
        <v>0.75</v>
      </c>
      <c r="T57" s="3" t="n">
        <f aca="false">G57*M57</f>
        <v>0.14</v>
      </c>
      <c r="U57" s="3" t="n">
        <f aca="false">G57*S57</f>
        <v>0.2625</v>
      </c>
      <c r="V57" s="3" t="n">
        <f aca="false">M57*S57</f>
        <v>0.3</v>
      </c>
      <c r="W57" s="3" t="n">
        <f aca="false">G57*M57*S57</f>
        <v>0.105</v>
      </c>
    </row>
    <row r="58" customFormat="false" ht="13.8" hidden="false" customHeight="false" outlineLevel="0" collapsed="false">
      <c r="A58" s="1" t="n">
        <v>44440</v>
      </c>
      <c r="B58" s="2" t="n">
        <v>19376.875</v>
      </c>
      <c r="C58" s="2" t="n">
        <v>1</v>
      </c>
      <c r="D58" s="2" t="n">
        <v>0</v>
      </c>
      <c r="E58" s="2" t="n">
        <v>0</v>
      </c>
      <c r="F58" s="2" t="n">
        <v>1</v>
      </c>
      <c r="G58" s="2" t="n">
        <f aca="false">0.45 * D58 + 0.2 * C58 + 0.2 * E58 + 0.15 *F58</f>
        <v>0.35</v>
      </c>
      <c r="H58" s="2" t="n">
        <v>1</v>
      </c>
      <c r="I58" s="2" t="n">
        <v>1</v>
      </c>
      <c r="J58" s="2" t="n">
        <v>0</v>
      </c>
      <c r="K58" s="2" t="n">
        <v>0</v>
      </c>
      <c r="L58" s="2" t="n">
        <v>0</v>
      </c>
      <c r="M58" s="2" t="n">
        <f aca="false">0.35 * H58 + 0.25*J58 + 0.2*L58 + 0.15 *K58 + 0.05*I58</f>
        <v>0.4</v>
      </c>
      <c r="N58" s="2" t="n">
        <v>1</v>
      </c>
      <c r="O58" s="2" t="n">
        <v>1</v>
      </c>
      <c r="P58" s="2" t="n">
        <v>1</v>
      </c>
      <c r="Q58" s="2" t="n">
        <v>0</v>
      </c>
      <c r="R58" s="2" t="n">
        <v>0</v>
      </c>
      <c r="S58" s="3" t="n">
        <f aca="false">0.4 * O58 + 0.25*R58 + 0.2 *N58 + 0.15*P58</f>
        <v>0.75</v>
      </c>
      <c r="T58" s="3" t="n">
        <f aca="false">G58*M58</f>
        <v>0.14</v>
      </c>
      <c r="U58" s="3" t="n">
        <f aca="false">G58*S58</f>
        <v>0.2625</v>
      </c>
      <c r="V58" s="3" t="n">
        <f aca="false">M58*S58</f>
        <v>0.3</v>
      </c>
      <c r="W58" s="3" t="n">
        <f aca="false">G58*M58*S58</f>
        <v>0.105</v>
      </c>
    </row>
    <row r="59" customFormat="false" ht="13.8" hidden="false" customHeight="false" outlineLevel="0" collapsed="false">
      <c r="A59" s="1" t="n">
        <v>44470</v>
      </c>
      <c r="B59" s="2" t="n">
        <v>19362.3928571428</v>
      </c>
      <c r="C59" s="2" t="n">
        <v>1</v>
      </c>
      <c r="D59" s="2" t="n">
        <v>0</v>
      </c>
      <c r="E59" s="2" t="n">
        <v>0</v>
      </c>
      <c r="F59" s="2" t="n">
        <v>1</v>
      </c>
      <c r="G59" s="2" t="n">
        <f aca="false">0.45 * D59 + 0.2 * C59 + 0.2 * E59 + 0.15 *F59</f>
        <v>0.35</v>
      </c>
      <c r="H59" s="2" t="n">
        <v>1</v>
      </c>
      <c r="I59" s="2" t="n">
        <v>1</v>
      </c>
      <c r="J59" s="2" t="n">
        <v>0</v>
      </c>
      <c r="K59" s="2" t="n">
        <v>0</v>
      </c>
      <c r="L59" s="2" t="n">
        <v>0</v>
      </c>
      <c r="M59" s="2" t="n">
        <f aca="false">0.35 * H59 + 0.25*J59 + 0.2*L59 + 0.15 *K59 + 0.05*I59</f>
        <v>0.4</v>
      </c>
      <c r="N59" s="2" t="n">
        <v>1</v>
      </c>
      <c r="O59" s="2" t="n">
        <v>1</v>
      </c>
      <c r="P59" s="2" t="n">
        <v>1</v>
      </c>
      <c r="Q59" s="2" t="n">
        <v>0</v>
      </c>
      <c r="R59" s="2" t="n">
        <v>0</v>
      </c>
      <c r="S59" s="3" t="n">
        <f aca="false">0.4 * O59 + 0.25*R59 + 0.2 *N59 + 0.15*P59</f>
        <v>0.75</v>
      </c>
      <c r="T59" s="3" t="n">
        <f aca="false">G59*M59</f>
        <v>0.14</v>
      </c>
      <c r="U59" s="3" t="n">
        <f aca="false">G59*S59</f>
        <v>0.2625</v>
      </c>
      <c r="V59" s="3" t="n">
        <f aca="false">M59*S59</f>
        <v>0.3</v>
      </c>
      <c r="W59" s="3" t="n">
        <f aca="false">G59*M59*S59</f>
        <v>0.105</v>
      </c>
    </row>
    <row r="60" customFormat="false" ht="13.8" hidden="false" customHeight="false" outlineLevel="0" collapsed="false">
      <c r="A60" s="1" t="n">
        <v>44501</v>
      </c>
      <c r="B60" s="2" t="n">
        <v>19932.8631818181</v>
      </c>
      <c r="C60" s="2" t="n">
        <v>1</v>
      </c>
      <c r="D60" s="2" t="n">
        <v>0</v>
      </c>
      <c r="E60" s="2" t="n">
        <v>0</v>
      </c>
      <c r="F60" s="2" t="n">
        <v>1</v>
      </c>
      <c r="G60" s="2" t="n">
        <f aca="false">0.45 * D60 + 0.2 * C60 + 0.2 * E60 + 0.15 *F60</f>
        <v>0.35</v>
      </c>
      <c r="H60" s="2" t="n">
        <v>1</v>
      </c>
      <c r="I60" s="2" t="n">
        <v>1</v>
      </c>
      <c r="J60" s="2" t="n">
        <v>0</v>
      </c>
      <c r="K60" s="2" t="n">
        <v>0</v>
      </c>
      <c r="L60" s="2" t="n">
        <v>0</v>
      </c>
      <c r="M60" s="2" t="n">
        <f aca="false">0.35 * H60 + 0.25*J60 + 0.2*L60 + 0.15 *K60 + 0.05*I60</f>
        <v>0.4</v>
      </c>
      <c r="N60" s="2" t="n">
        <v>1</v>
      </c>
      <c r="O60" s="2" t="n">
        <v>1</v>
      </c>
      <c r="P60" s="2" t="n">
        <v>1</v>
      </c>
      <c r="Q60" s="2" t="n">
        <v>0</v>
      </c>
      <c r="R60" s="2" t="n">
        <v>0</v>
      </c>
      <c r="S60" s="3" t="n">
        <f aca="false">0.4 * O60 + 0.25*R60 + 0.2 *N60 + 0.15*P60</f>
        <v>0.75</v>
      </c>
      <c r="T60" s="3" t="n">
        <f aca="false">G60*M60</f>
        <v>0.14</v>
      </c>
      <c r="U60" s="3" t="n">
        <f aca="false">G60*S60</f>
        <v>0.2625</v>
      </c>
      <c r="V60" s="3" t="n">
        <f aca="false">M60*S60</f>
        <v>0.3</v>
      </c>
      <c r="W60" s="3" t="n">
        <f aca="false">G60*M60*S60</f>
        <v>0.105</v>
      </c>
    </row>
    <row r="61" customFormat="false" ht="13.8" hidden="false" customHeight="false" outlineLevel="0" collapsed="false">
      <c r="A61" s="1" t="n">
        <v>44531</v>
      </c>
      <c r="B61" s="2" t="n">
        <v>20015.5485714285</v>
      </c>
      <c r="C61" s="2" t="n">
        <v>1</v>
      </c>
      <c r="D61" s="2" t="n">
        <v>0</v>
      </c>
      <c r="E61" s="2" t="n">
        <v>0</v>
      </c>
      <c r="F61" s="2" t="n">
        <v>1</v>
      </c>
      <c r="G61" s="2" t="n">
        <f aca="false">0.45 * D61 + 0.2 * C61 + 0.2 * E61 + 0.15 *F61</f>
        <v>0.35</v>
      </c>
      <c r="H61" s="2" t="n">
        <v>1</v>
      </c>
      <c r="I61" s="2" t="n">
        <v>1</v>
      </c>
      <c r="J61" s="2" t="n">
        <v>0</v>
      </c>
      <c r="K61" s="2" t="n">
        <v>0</v>
      </c>
      <c r="L61" s="2" t="n">
        <v>0</v>
      </c>
      <c r="M61" s="2" t="n">
        <f aca="false">0.35 * H61 + 0.25*J61 + 0.2*L61 + 0.15 *K61 + 0.05*I61</f>
        <v>0.4</v>
      </c>
      <c r="N61" s="2" t="n">
        <v>1</v>
      </c>
      <c r="O61" s="2" t="n">
        <v>1</v>
      </c>
      <c r="P61" s="2" t="n">
        <v>1</v>
      </c>
      <c r="Q61" s="2" t="n">
        <v>0</v>
      </c>
      <c r="R61" s="2" t="n">
        <v>0</v>
      </c>
      <c r="S61" s="3" t="n">
        <f aca="false">0.4 * O61 + 0.25*R61 + 0.2 *N61 + 0.15*P61</f>
        <v>0.75</v>
      </c>
      <c r="T61" s="3" t="n">
        <f aca="false">G61*M61</f>
        <v>0.14</v>
      </c>
      <c r="U61" s="3" t="n">
        <f aca="false">G61*S61</f>
        <v>0.2625</v>
      </c>
      <c r="V61" s="3" t="n">
        <f aca="false">M61*S61</f>
        <v>0.3</v>
      </c>
      <c r="W61" s="3" t="n">
        <f aca="false">G61*M61*S61</f>
        <v>0.105</v>
      </c>
    </row>
    <row r="62" customFormat="false" ht="13.8" hidden="false" customHeight="false" outlineLevel="0" collapsed="false">
      <c r="A62" s="1" t="n">
        <v>44562</v>
      </c>
      <c r="B62" s="2" t="n">
        <v>22355.4</v>
      </c>
      <c r="C62" s="2" t="n">
        <v>1</v>
      </c>
      <c r="D62" s="2" t="n">
        <v>0</v>
      </c>
      <c r="E62" s="2" t="n">
        <v>0</v>
      </c>
      <c r="F62" s="2" t="n">
        <v>1</v>
      </c>
      <c r="G62" s="2" t="n">
        <f aca="false">0.45 * D62 + 0.2 * C62 + 0.2 * E62 + 0.15 *F62</f>
        <v>0.35</v>
      </c>
      <c r="H62" s="2" t="n">
        <v>1</v>
      </c>
      <c r="I62" s="2" t="n">
        <v>1</v>
      </c>
      <c r="J62" s="2" t="n">
        <v>0</v>
      </c>
      <c r="K62" s="2" t="n">
        <v>0</v>
      </c>
      <c r="L62" s="2" t="n">
        <v>0</v>
      </c>
      <c r="M62" s="2" t="n">
        <f aca="false">0.35 * H62 + 0.25*J62 + 0.2*L62 + 0.15 *K62 + 0.05*I62</f>
        <v>0.4</v>
      </c>
      <c r="N62" s="2" t="n">
        <v>0</v>
      </c>
      <c r="O62" s="2" t="n">
        <v>1</v>
      </c>
      <c r="P62" s="2" t="n">
        <v>1</v>
      </c>
      <c r="Q62" s="2" t="n">
        <v>0</v>
      </c>
      <c r="R62" s="2" t="n">
        <v>0</v>
      </c>
      <c r="S62" s="3" t="n">
        <f aca="false">0.4 * O62 + 0.25*R62 + 0.2 *N62 + 0.15*P62</f>
        <v>0.55</v>
      </c>
      <c r="T62" s="3" t="n">
        <f aca="false">G62*M62</f>
        <v>0.14</v>
      </c>
      <c r="U62" s="3" t="n">
        <f aca="false">G62*S62</f>
        <v>0.1925</v>
      </c>
      <c r="V62" s="3" t="n">
        <f aca="false">M62*S62</f>
        <v>0.22</v>
      </c>
      <c r="W62" s="3" t="n">
        <f aca="false">G62*M62*S62</f>
        <v>0.077</v>
      </c>
    </row>
    <row r="63" customFormat="false" ht="13.8" hidden="false" customHeight="false" outlineLevel="0" collapsed="false">
      <c r="A63" s="1" t="n">
        <v>44593</v>
      </c>
      <c r="B63" s="2" t="n">
        <v>24015.55</v>
      </c>
      <c r="C63" s="2" t="n">
        <v>1</v>
      </c>
      <c r="D63" s="2" t="n">
        <v>1</v>
      </c>
      <c r="E63" s="2" t="n">
        <v>0</v>
      </c>
      <c r="F63" s="2" t="n">
        <v>1</v>
      </c>
      <c r="G63" s="2" t="n">
        <f aca="false">0.45 * D63 + 0.2 * C63 + 0.2 * E63 + 0.15 *F63</f>
        <v>0.8</v>
      </c>
      <c r="H63" s="2" t="n">
        <v>1</v>
      </c>
      <c r="I63" s="2" t="n">
        <v>1</v>
      </c>
      <c r="J63" s="2" t="n">
        <v>0</v>
      </c>
      <c r="K63" s="2" t="n">
        <v>0</v>
      </c>
      <c r="L63" s="2" t="n">
        <v>0</v>
      </c>
      <c r="M63" s="2" t="n">
        <f aca="false">0.35 * H63 + 0.25*J63 + 0.2*L63 + 0.15 *K63 + 0.05*I63</f>
        <v>0.4</v>
      </c>
      <c r="N63" s="2" t="n">
        <v>0</v>
      </c>
      <c r="O63" s="2" t="n">
        <v>1</v>
      </c>
      <c r="P63" s="2" t="n">
        <v>1</v>
      </c>
      <c r="Q63" s="2" t="n">
        <v>0</v>
      </c>
      <c r="R63" s="2" t="n">
        <v>0</v>
      </c>
      <c r="S63" s="3" t="n">
        <f aca="false">0.4 * O63 + 0.25*R63 + 0.2 *N63 + 0.15*P63</f>
        <v>0.55</v>
      </c>
      <c r="T63" s="3" t="n">
        <f aca="false">G63*M63</f>
        <v>0.32</v>
      </c>
      <c r="U63" s="3" t="n">
        <f aca="false">G63*S63</f>
        <v>0.44</v>
      </c>
      <c r="V63" s="3" t="n">
        <f aca="false">M63*S63</f>
        <v>0.22</v>
      </c>
      <c r="W63" s="3" t="n">
        <f aca="false">G63*M63*S63</f>
        <v>0.176</v>
      </c>
    </row>
    <row r="64" customFormat="false" ht="13.8" hidden="false" customHeight="false" outlineLevel="0" collapsed="false">
      <c r="A64" s="1" t="n">
        <v>44621</v>
      </c>
      <c r="B64" s="2" t="n">
        <v>33924.1764705882</v>
      </c>
      <c r="C64" s="2" t="n">
        <v>1</v>
      </c>
      <c r="D64" s="2" t="n">
        <v>1</v>
      </c>
      <c r="E64" s="2" t="n">
        <v>0</v>
      </c>
      <c r="F64" s="2" t="n">
        <v>1</v>
      </c>
      <c r="G64" s="2" t="n">
        <f aca="false">0.45 * D64 + 0.2 * C64 + 0.2 * E64 + 0.15 *F64</f>
        <v>0.8</v>
      </c>
      <c r="H64" s="2" t="n">
        <v>1</v>
      </c>
      <c r="I64" s="2" t="n">
        <v>1</v>
      </c>
      <c r="J64" s="2" t="n">
        <v>0</v>
      </c>
      <c r="K64" s="2" t="n">
        <v>0</v>
      </c>
      <c r="L64" s="2" t="n">
        <v>0</v>
      </c>
      <c r="M64" s="2" t="n">
        <f aca="false">0.35 * H64 + 0.25*J64 + 0.2*L64 + 0.15 *K64 + 0.05*I64</f>
        <v>0.4</v>
      </c>
      <c r="N64" s="2" t="n">
        <v>0</v>
      </c>
      <c r="O64" s="2" t="n">
        <v>1</v>
      </c>
      <c r="P64" s="2" t="n">
        <v>1</v>
      </c>
      <c r="Q64" s="2" t="n">
        <v>1</v>
      </c>
      <c r="R64" s="2" t="n">
        <v>0</v>
      </c>
      <c r="S64" s="3" t="n">
        <f aca="false">0.4 * O64 + 0.25*R64 + 0.2 *N64 + 0.15*P64</f>
        <v>0.55</v>
      </c>
      <c r="T64" s="3" t="n">
        <f aca="false">G64*M64</f>
        <v>0.32</v>
      </c>
      <c r="U64" s="3" t="n">
        <f aca="false">G64*S64</f>
        <v>0.44</v>
      </c>
      <c r="V64" s="3" t="n">
        <f aca="false">M64*S64</f>
        <v>0.22</v>
      </c>
      <c r="W64" s="3" t="n">
        <f aca="false">G64*M64*S64</f>
        <v>0.176</v>
      </c>
    </row>
    <row r="65" customFormat="false" ht="13.8" hidden="false" customHeight="false" outlineLevel="0" collapsed="false">
      <c r="A65" s="1" t="n">
        <v>44652</v>
      </c>
      <c r="B65" s="2" t="n">
        <v>33133.8095238095</v>
      </c>
      <c r="C65" s="2" t="n">
        <v>1</v>
      </c>
      <c r="D65" s="2" t="n">
        <v>1</v>
      </c>
      <c r="E65" s="2" t="n">
        <v>0</v>
      </c>
      <c r="F65" s="2" t="n">
        <v>1</v>
      </c>
      <c r="G65" s="2" t="n">
        <f aca="false">0.45 * D65 + 0.2 * C65 + 0.2 * E65 + 0.15 *F65</f>
        <v>0.8</v>
      </c>
      <c r="H65" s="2" t="n">
        <v>1</v>
      </c>
      <c r="I65" s="2" t="n">
        <v>1</v>
      </c>
      <c r="J65" s="2" t="n">
        <v>0</v>
      </c>
      <c r="K65" s="2" t="n">
        <v>0</v>
      </c>
      <c r="L65" s="2" t="n">
        <v>0</v>
      </c>
      <c r="M65" s="2" t="n">
        <f aca="false">0.35 * H65 + 0.25*J65 + 0.2*L65 + 0.15 *K65 + 0.05*I65</f>
        <v>0.4</v>
      </c>
      <c r="N65" s="2" t="n">
        <v>0</v>
      </c>
      <c r="O65" s="2" t="n">
        <v>1</v>
      </c>
      <c r="P65" s="2" t="n">
        <v>0</v>
      </c>
      <c r="Q65" s="2" t="n">
        <v>0</v>
      </c>
      <c r="R65" s="2" t="n">
        <v>0</v>
      </c>
      <c r="S65" s="3" t="n">
        <f aca="false">0.4 * O65 + 0.25*R65 + 0.2 *N65 + 0.15*P65</f>
        <v>0.4</v>
      </c>
      <c r="T65" s="3" t="n">
        <f aca="false">G65*M65</f>
        <v>0.32</v>
      </c>
      <c r="U65" s="3" t="n">
        <f aca="false">G65*S65</f>
        <v>0.32</v>
      </c>
      <c r="V65" s="3" t="n">
        <f aca="false">M65*S65</f>
        <v>0.16</v>
      </c>
      <c r="W65" s="3" t="n">
        <f aca="false">G65*M65*S65</f>
        <v>0.128</v>
      </c>
    </row>
    <row r="66" customFormat="false" ht="13.8" hidden="false" customHeight="false" outlineLevel="0" collapsed="false">
      <c r="A66" s="1" t="n">
        <v>44682</v>
      </c>
      <c r="B66" s="2" t="n">
        <v>28228.8868181818</v>
      </c>
      <c r="C66" s="2" t="n">
        <v>1</v>
      </c>
      <c r="D66" s="2" t="n">
        <v>1</v>
      </c>
      <c r="E66" s="2" t="n">
        <v>0</v>
      </c>
      <c r="F66" s="2" t="n">
        <v>1</v>
      </c>
      <c r="G66" s="2" t="n">
        <f aca="false">0.45 * D66 + 0.2 * C66 + 0.2 * E66 + 0.15 *F66</f>
        <v>0.8</v>
      </c>
      <c r="H66" s="2" t="n">
        <v>1</v>
      </c>
      <c r="I66" s="2" t="n">
        <v>1</v>
      </c>
      <c r="J66" s="2" t="n">
        <v>0</v>
      </c>
      <c r="K66" s="2" t="n">
        <v>0</v>
      </c>
      <c r="L66" s="2" t="n">
        <v>0</v>
      </c>
      <c r="M66" s="2" t="n">
        <f aca="false">0.35 * H66 + 0.25*J66 + 0.2*L66 + 0.15 *K66 + 0.05*I66</f>
        <v>0.4</v>
      </c>
      <c r="N66" s="2" t="n">
        <v>0</v>
      </c>
      <c r="O66" s="2" t="n">
        <v>1</v>
      </c>
      <c r="P66" s="2" t="n">
        <v>0</v>
      </c>
      <c r="Q66" s="2" t="n">
        <v>0</v>
      </c>
      <c r="R66" s="2" t="n">
        <v>0</v>
      </c>
      <c r="S66" s="3" t="n">
        <f aca="false">0.4 * O66 + 0.25*R66 + 0.2 *N66 + 0.15*P66</f>
        <v>0.4</v>
      </c>
      <c r="T66" s="3" t="n">
        <f aca="false">G66*M66</f>
        <v>0.32</v>
      </c>
      <c r="U66" s="3" t="n">
        <f aca="false">G66*S66</f>
        <v>0.32</v>
      </c>
      <c r="V66" s="3" t="n">
        <f aca="false">M66*S66</f>
        <v>0.16</v>
      </c>
      <c r="W66" s="3" t="n">
        <f aca="false">G66*M66*S66</f>
        <v>0.128</v>
      </c>
    </row>
    <row r="67" customFormat="false" ht="13.8" hidden="false" customHeight="false" outlineLevel="0" collapsed="false">
      <c r="A67" s="1" t="n">
        <v>44713</v>
      </c>
      <c r="B67" s="2" t="n">
        <v>25877.0681818181</v>
      </c>
      <c r="C67" s="2" t="n">
        <v>1</v>
      </c>
      <c r="D67" s="2" t="n">
        <v>1</v>
      </c>
      <c r="E67" s="2" t="n">
        <v>0</v>
      </c>
      <c r="F67" s="2" t="n">
        <v>1</v>
      </c>
      <c r="G67" s="2" t="n">
        <f aca="false">0.45 * D67 + 0.2 * C67 + 0.2 * E67 + 0.15 *F67</f>
        <v>0.8</v>
      </c>
      <c r="H67" s="2" t="n">
        <v>1</v>
      </c>
      <c r="I67" s="2" t="n">
        <v>1</v>
      </c>
      <c r="J67" s="2" t="n">
        <v>0</v>
      </c>
      <c r="K67" s="2" t="n">
        <v>0</v>
      </c>
      <c r="L67" s="2" t="n">
        <v>0</v>
      </c>
      <c r="M67" s="2" t="n">
        <f aca="false">0.35 * H67 + 0.25*J67 + 0.2*L67 + 0.15 *K67 + 0.05*I67</f>
        <v>0.4</v>
      </c>
      <c r="N67" s="2" t="n">
        <v>0</v>
      </c>
      <c r="O67" s="2" t="n">
        <v>1</v>
      </c>
      <c r="P67" s="2" t="n">
        <v>0</v>
      </c>
      <c r="Q67" s="2" t="n">
        <v>0</v>
      </c>
      <c r="R67" s="2" t="n">
        <v>0</v>
      </c>
      <c r="S67" s="3" t="n">
        <f aca="false">0.4 * O67 + 0.25*R67 + 0.2 *N67 + 0.15*P67</f>
        <v>0.4</v>
      </c>
      <c r="T67" s="3" t="n">
        <f aca="false">G67*M67</f>
        <v>0.32</v>
      </c>
      <c r="U67" s="3" t="n">
        <f aca="false">G67*S67</f>
        <v>0.32</v>
      </c>
      <c r="V67" s="3" t="n">
        <f aca="false">M67*S67</f>
        <v>0.16</v>
      </c>
      <c r="W67" s="3" t="n">
        <f aca="false">G67*M67*S67</f>
        <v>0.128</v>
      </c>
    </row>
    <row r="68" customFormat="false" ht="13.8" hidden="false" customHeight="false" outlineLevel="0" collapsed="false">
      <c r="A68" s="1" t="n">
        <v>44743</v>
      </c>
      <c r="B68" s="2" t="n">
        <v>21481.8928571428</v>
      </c>
      <c r="C68" s="2" t="n">
        <v>1</v>
      </c>
      <c r="D68" s="2" t="n">
        <v>1</v>
      </c>
      <c r="E68" s="2" t="n">
        <v>0</v>
      </c>
      <c r="F68" s="2" t="n">
        <v>1</v>
      </c>
      <c r="G68" s="2" t="n">
        <f aca="false">0.45 * D68 + 0.2 * C68 + 0.2 * E68 + 0.15 *F68</f>
        <v>0.8</v>
      </c>
      <c r="H68" s="2" t="n">
        <v>1</v>
      </c>
      <c r="I68" s="2" t="n">
        <v>1</v>
      </c>
      <c r="J68" s="2" t="n">
        <v>0</v>
      </c>
      <c r="K68" s="2" t="n">
        <v>0</v>
      </c>
      <c r="L68" s="2" t="n">
        <v>0</v>
      </c>
      <c r="M68" s="2" t="n">
        <f aca="false">0.35 * H68 + 0.25*J68 + 0.2*L68 + 0.15 *K68 + 0.05*I68</f>
        <v>0.4</v>
      </c>
      <c r="N68" s="2" t="n">
        <v>0</v>
      </c>
      <c r="O68" s="2" t="n">
        <v>1</v>
      </c>
      <c r="P68" s="2" t="n">
        <v>0</v>
      </c>
      <c r="Q68" s="2" t="n">
        <v>0</v>
      </c>
      <c r="R68" s="2" t="n">
        <v>0</v>
      </c>
      <c r="S68" s="3" t="n">
        <f aca="false">0.4 * O68 + 0.25*R68 + 0.2 *N68 + 0.15*P68</f>
        <v>0.4</v>
      </c>
      <c r="T68" s="3" t="n">
        <f aca="false">G68*M68</f>
        <v>0.32</v>
      </c>
      <c r="U68" s="3" t="n">
        <f aca="false">G68*S68</f>
        <v>0.32</v>
      </c>
      <c r="V68" s="3" t="n">
        <f aca="false">M68*S68</f>
        <v>0.16</v>
      </c>
      <c r="W68" s="3" t="n">
        <f aca="false">G68*M68*S68</f>
        <v>0.128</v>
      </c>
    </row>
    <row r="69" customFormat="false" ht="13.8" hidden="false" customHeight="false" outlineLevel="0" collapsed="false">
      <c r="A69" s="1" t="n">
        <v>44774</v>
      </c>
      <c r="B69" s="2" t="n">
        <v>22034.8913043478</v>
      </c>
      <c r="C69" s="2" t="n">
        <v>1</v>
      </c>
      <c r="D69" s="2" t="n">
        <v>1</v>
      </c>
      <c r="E69" s="2" t="n">
        <v>0</v>
      </c>
      <c r="F69" s="2" t="n">
        <v>1</v>
      </c>
      <c r="G69" s="2" t="n">
        <f aca="false">0.45 * D69 + 0.2 * C69 + 0.2 * E69 + 0.15 *F69</f>
        <v>0.8</v>
      </c>
      <c r="H69" s="2" t="n">
        <v>1</v>
      </c>
      <c r="I69" s="2" t="n">
        <v>1</v>
      </c>
      <c r="J69" s="2" t="n">
        <v>1</v>
      </c>
      <c r="K69" s="2" t="n">
        <v>0</v>
      </c>
      <c r="L69" s="2" t="n">
        <v>0</v>
      </c>
      <c r="M69" s="2" t="n">
        <f aca="false">0.35 * H69 + 0.25*J69 + 0.2*L69 + 0.15 *K69 + 0.05*I69</f>
        <v>0.65</v>
      </c>
      <c r="N69" s="2" t="n">
        <v>0</v>
      </c>
      <c r="O69" s="2" t="n">
        <v>1</v>
      </c>
      <c r="P69" s="2" t="n">
        <v>0</v>
      </c>
      <c r="Q69" s="2" t="n">
        <v>0</v>
      </c>
      <c r="R69" s="2" t="n">
        <v>0</v>
      </c>
      <c r="S69" s="3" t="n">
        <f aca="false">0.4 * O69 + 0.25*R69 + 0.2 *N69 + 0.15*P69</f>
        <v>0.4</v>
      </c>
      <c r="T69" s="3" t="n">
        <f aca="false">G69*M69</f>
        <v>0.52</v>
      </c>
      <c r="U69" s="3" t="n">
        <f aca="false">G69*S69</f>
        <v>0.32</v>
      </c>
      <c r="V69" s="3" t="n">
        <f aca="false">M69*S69</f>
        <v>0.26</v>
      </c>
      <c r="W69" s="3" t="n">
        <f aca="false">G69*M69*S69</f>
        <v>0.208</v>
      </c>
    </row>
    <row r="70" customFormat="false" ht="13.8" hidden="false" customHeight="false" outlineLevel="0" collapsed="false">
      <c r="A70" s="1" t="n">
        <v>44805</v>
      </c>
      <c r="B70" s="2" t="n">
        <v>22773.9663636363</v>
      </c>
      <c r="C70" s="2" t="n">
        <v>1</v>
      </c>
      <c r="D70" s="2" t="n">
        <v>1</v>
      </c>
      <c r="E70" s="2" t="n">
        <v>0</v>
      </c>
      <c r="F70" s="2" t="n">
        <v>1</v>
      </c>
      <c r="G70" s="2" t="n">
        <f aca="false">0.45 * D70 + 0.2 * C70 + 0.2 * E70 + 0.15 *F70</f>
        <v>0.8</v>
      </c>
      <c r="H70" s="2" t="n">
        <v>1</v>
      </c>
      <c r="I70" s="2" t="n">
        <v>1</v>
      </c>
      <c r="J70" s="2" t="n">
        <v>1</v>
      </c>
      <c r="K70" s="2" t="n">
        <v>0</v>
      </c>
      <c r="L70" s="2" t="n">
        <v>0</v>
      </c>
      <c r="M70" s="2" t="n">
        <f aca="false">0.35 * H70 + 0.25*J70 + 0.2*L70 + 0.15 *K70 + 0.05*I70</f>
        <v>0.65</v>
      </c>
      <c r="N70" s="2" t="n">
        <v>0</v>
      </c>
      <c r="O70" s="2" t="n">
        <v>1</v>
      </c>
      <c r="P70" s="2" t="n">
        <v>0</v>
      </c>
      <c r="Q70" s="2" t="n">
        <v>0</v>
      </c>
      <c r="R70" s="2" t="n">
        <v>0</v>
      </c>
      <c r="S70" s="3" t="n">
        <f aca="false">0.4 * O70 + 0.25*R70 + 0.2 *N70 + 0.15*P70</f>
        <v>0.4</v>
      </c>
      <c r="T70" s="3" t="n">
        <f aca="false">G70*M70</f>
        <v>0.52</v>
      </c>
      <c r="U70" s="3" t="n">
        <f aca="false">G70*S70</f>
        <v>0.32</v>
      </c>
      <c r="V70" s="3" t="n">
        <f aca="false">M70*S70</f>
        <v>0.26</v>
      </c>
      <c r="W70" s="3" t="n">
        <f aca="false">G70*M70*S70</f>
        <v>0.208</v>
      </c>
    </row>
    <row r="71" customFormat="false" ht="13.8" hidden="false" customHeight="false" outlineLevel="0" collapsed="false">
      <c r="A71" s="1" t="n">
        <v>44835</v>
      </c>
      <c r="B71" s="2" t="n">
        <v>22032.8928571428</v>
      </c>
      <c r="C71" s="2" t="n">
        <v>1</v>
      </c>
      <c r="D71" s="2" t="n">
        <v>1</v>
      </c>
      <c r="E71" s="2" t="n">
        <v>0</v>
      </c>
      <c r="F71" s="2" t="n">
        <v>1</v>
      </c>
      <c r="G71" s="2" t="n">
        <f aca="false">0.45 * D71 + 0.2 * C71 + 0.2 * E71 + 0.15 *F71</f>
        <v>0.8</v>
      </c>
      <c r="H71" s="2" t="n">
        <v>1</v>
      </c>
      <c r="I71" s="2" t="n">
        <v>1</v>
      </c>
      <c r="J71" s="2" t="n">
        <v>1</v>
      </c>
      <c r="K71" s="2" t="n">
        <v>0</v>
      </c>
      <c r="L71" s="2" t="n">
        <v>0</v>
      </c>
      <c r="M71" s="2" t="n">
        <f aca="false">0.35 * H71 + 0.25*J71 + 0.2*L71 + 0.15 *K71 + 0.05*I71</f>
        <v>0.65</v>
      </c>
      <c r="N71" s="2" t="n">
        <v>0</v>
      </c>
      <c r="O71" s="2" t="n">
        <v>1</v>
      </c>
      <c r="P71" s="2" t="n">
        <v>0</v>
      </c>
      <c r="Q71" s="2" t="n">
        <v>0</v>
      </c>
      <c r="R71" s="2" t="n">
        <v>0</v>
      </c>
      <c r="S71" s="3" t="n">
        <f aca="false">0.4 * O71 + 0.25*R71 + 0.2 *N71 + 0.15*P71</f>
        <v>0.4</v>
      </c>
      <c r="T71" s="3" t="n">
        <f aca="false">G71*M71</f>
        <v>0.52</v>
      </c>
      <c r="U71" s="3" t="n">
        <f aca="false">G71*S71</f>
        <v>0.32</v>
      </c>
      <c r="V71" s="3" t="n">
        <f aca="false">M71*S71</f>
        <v>0.26</v>
      </c>
      <c r="W71" s="3" t="n">
        <f aca="false">G71*M71*S71</f>
        <v>0.208</v>
      </c>
    </row>
    <row r="72" customFormat="false" ht="13.8" hidden="false" customHeight="false" outlineLevel="0" collapsed="false">
      <c r="A72" s="1" t="n">
        <v>44866</v>
      </c>
      <c r="B72" s="2" t="n">
        <v>25562.6977272727</v>
      </c>
      <c r="C72" s="2" t="n">
        <v>1</v>
      </c>
      <c r="D72" s="2" t="n">
        <v>1</v>
      </c>
      <c r="E72" s="2" t="n">
        <v>0</v>
      </c>
      <c r="F72" s="2" t="n">
        <v>1</v>
      </c>
      <c r="G72" s="2" t="n">
        <f aca="false">0.45 * D72 + 0.2 * C72 + 0.2 * E72 + 0.15 *F72</f>
        <v>0.8</v>
      </c>
      <c r="H72" s="2" t="n">
        <v>1</v>
      </c>
      <c r="I72" s="2" t="n">
        <v>1</v>
      </c>
      <c r="J72" s="2" t="n">
        <v>1</v>
      </c>
      <c r="K72" s="2" t="n">
        <v>0</v>
      </c>
      <c r="L72" s="2" t="n">
        <v>0</v>
      </c>
      <c r="M72" s="2" t="n">
        <f aca="false">0.35 * H72 + 0.25*J72 + 0.2*L72 + 0.15 *K72 + 0.05*I72</f>
        <v>0.65</v>
      </c>
      <c r="N72" s="2" t="n">
        <v>0</v>
      </c>
      <c r="O72" s="2" t="n">
        <v>1</v>
      </c>
      <c r="P72" s="2" t="n">
        <v>0</v>
      </c>
      <c r="Q72" s="2" t="n">
        <v>0</v>
      </c>
      <c r="R72" s="2" t="n">
        <v>0</v>
      </c>
      <c r="S72" s="3" t="n">
        <f aca="false">0.4 * O72 + 0.25*R72 + 0.2 *N72 + 0.15*P72</f>
        <v>0.4</v>
      </c>
      <c r="T72" s="3" t="n">
        <f aca="false">G72*M72</f>
        <v>0.52</v>
      </c>
      <c r="U72" s="3" t="n">
        <f aca="false">G72*S72</f>
        <v>0.32</v>
      </c>
      <c r="V72" s="3" t="n">
        <f aca="false">M72*S72</f>
        <v>0.26</v>
      </c>
      <c r="W72" s="3" t="n">
        <f aca="false">G72*M72*S72</f>
        <v>0.208</v>
      </c>
    </row>
    <row r="73" customFormat="false" ht="13.8" hidden="false" customHeight="false" outlineLevel="0" collapsed="false">
      <c r="A73" s="1" t="n">
        <v>44896</v>
      </c>
      <c r="B73" s="2" t="n">
        <v>28985.9204545454</v>
      </c>
      <c r="C73" s="2" t="n">
        <v>1</v>
      </c>
      <c r="D73" s="2" t="n">
        <v>1</v>
      </c>
      <c r="E73" s="2" t="n">
        <v>0</v>
      </c>
      <c r="F73" s="2" t="n">
        <v>1</v>
      </c>
      <c r="G73" s="2" t="n">
        <f aca="false">0.45 * D73 + 0.2 * C73 + 0.2 * E73 + 0.15 *F73</f>
        <v>0.8</v>
      </c>
      <c r="H73" s="2" t="n">
        <v>1</v>
      </c>
      <c r="I73" s="2" t="n">
        <v>1</v>
      </c>
      <c r="J73" s="2" t="n">
        <v>1</v>
      </c>
      <c r="K73" s="2" t="n">
        <v>0</v>
      </c>
      <c r="L73" s="2" t="n">
        <v>0</v>
      </c>
      <c r="M73" s="2" t="n">
        <f aca="false">0.35 * H73 + 0.25*J73 + 0.2*L73 + 0.15 *K73 + 0.05*I73</f>
        <v>0.65</v>
      </c>
      <c r="N73" s="2" t="n">
        <v>0</v>
      </c>
      <c r="O73" s="2" t="n">
        <v>1</v>
      </c>
      <c r="P73" s="2" t="n">
        <v>0</v>
      </c>
      <c r="Q73" s="2" t="n">
        <v>0</v>
      </c>
      <c r="R73" s="2" t="n">
        <v>0</v>
      </c>
      <c r="S73" s="3" t="n">
        <f aca="false">0.4 * O73 + 0.25*R73 + 0.2 *N73 + 0.15*P73</f>
        <v>0.4</v>
      </c>
      <c r="T73" s="3" t="n">
        <f aca="false">G73*M73</f>
        <v>0.52</v>
      </c>
      <c r="U73" s="3" t="n">
        <f aca="false">G73*S73</f>
        <v>0.32</v>
      </c>
      <c r="V73" s="3" t="n">
        <f aca="false">M73*S73</f>
        <v>0.26</v>
      </c>
      <c r="W73" s="3" t="n">
        <f aca="false">G73*M73*S73</f>
        <v>0.208</v>
      </c>
    </row>
    <row r="74" customFormat="false" ht="13.8" hidden="false" customHeight="false" outlineLevel="0" collapsed="false">
      <c r="A74" s="1" t="n">
        <v>44927</v>
      </c>
      <c r="B74" s="2" t="n">
        <v>28271.4909090909</v>
      </c>
      <c r="C74" s="2" t="n">
        <v>1</v>
      </c>
      <c r="D74" s="2" t="n">
        <v>1</v>
      </c>
      <c r="E74" s="2" t="n">
        <v>0</v>
      </c>
      <c r="F74" s="2" t="n">
        <v>1</v>
      </c>
      <c r="G74" s="2" t="n">
        <f aca="false">0.45 * D74 + 0.2 * C74 + 0.2 * E74 + 0.15 *F74</f>
        <v>0.8</v>
      </c>
      <c r="H74" s="2" t="n">
        <v>1</v>
      </c>
      <c r="I74" s="2" t="n">
        <v>1</v>
      </c>
      <c r="J74" s="2" t="n">
        <v>1</v>
      </c>
      <c r="K74" s="2" t="n">
        <v>0</v>
      </c>
      <c r="L74" s="2" t="n">
        <v>0</v>
      </c>
      <c r="M74" s="2" t="n">
        <f aca="false">0.35 * H74 + 0.25*J74 + 0.2*L74 + 0.15 *K74 + 0.05*I74</f>
        <v>0.65</v>
      </c>
      <c r="N74" s="2" t="n">
        <v>0</v>
      </c>
      <c r="O74" s="2" t="n">
        <v>1</v>
      </c>
      <c r="P74" s="2" t="n">
        <v>0</v>
      </c>
      <c r="Q74" s="2" t="n">
        <v>0</v>
      </c>
      <c r="R74" s="2" t="n">
        <v>1</v>
      </c>
      <c r="S74" s="3" t="n">
        <f aca="false">0.4 * O74 + 0.25*R74 + 0.2 *N74 + 0.15*P74</f>
        <v>0.65</v>
      </c>
      <c r="T74" s="3" t="n">
        <f aca="false">G74*M74</f>
        <v>0.52</v>
      </c>
      <c r="U74" s="3" t="n">
        <f aca="false">G74*S74</f>
        <v>0.52</v>
      </c>
      <c r="V74" s="3" t="n">
        <f aca="false">M74*S74</f>
        <v>0.4225</v>
      </c>
      <c r="W74" s="3" t="n">
        <f aca="false">G74*M74*S74</f>
        <v>0.338</v>
      </c>
    </row>
    <row r="75" customFormat="false" ht="13.8" hidden="false" customHeight="false" outlineLevel="0" collapsed="false">
      <c r="A75" s="1" t="n">
        <v>44958</v>
      </c>
      <c r="B75" s="2" t="n">
        <v>26727.95</v>
      </c>
      <c r="C75" s="2" t="n">
        <v>1</v>
      </c>
      <c r="D75" s="2" t="n">
        <v>1</v>
      </c>
      <c r="E75" s="2" t="n">
        <v>0</v>
      </c>
      <c r="F75" s="2" t="n">
        <v>1</v>
      </c>
      <c r="G75" s="2" t="n">
        <f aca="false">0.45 * D75 + 0.2 * C75 + 0.2 * E75 + 0.15 *F75</f>
        <v>0.8</v>
      </c>
      <c r="H75" s="2" t="n">
        <v>1</v>
      </c>
      <c r="I75" s="2" t="n">
        <v>1</v>
      </c>
      <c r="J75" s="2" t="n">
        <v>1</v>
      </c>
      <c r="K75" s="2" t="n">
        <v>0</v>
      </c>
      <c r="L75" s="2" t="n">
        <v>0</v>
      </c>
      <c r="M75" s="2" t="n">
        <f aca="false">0.35 * H75 + 0.25*J75 + 0.2*L75 + 0.15 *K75 + 0.05*I75</f>
        <v>0.65</v>
      </c>
      <c r="N75" s="2" t="n">
        <v>0</v>
      </c>
      <c r="O75" s="2" t="n">
        <v>1</v>
      </c>
      <c r="P75" s="2" t="n">
        <v>0</v>
      </c>
      <c r="Q75" s="2" t="n">
        <v>0</v>
      </c>
      <c r="R75" s="2" t="n">
        <v>1</v>
      </c>
      <c r="S75" s="3" t="n">
        <f aca="false">0.4 * O75 + 0.25*R75 + 0.2 *N75 + 0.15*P75</f>
        <v>0.65</v>
      </c>
      <c r="T75" s="3" t="n">
        <f aca="false">G75*M75</f>
        <v>0.52</v>
      </c>
      <c r="U75" s="3" t="n">
        <f aca="false">G75*S75</f>
        <v>0.52</v>
      </c>
      <c r="V75" s="3" t="n">
        <f aca="false">M75*S75</f>
        <v>0.4225</v>
      </c>
      <c r="W75" s="3" t="n">
        <f aca="false">G75*M75*S75</f>
        <v>0.338</v>
      </c>
    </row>
    <row r="76" customFormat="false" ht="13.8" hidden="false" customHeight="false" outlineLevel="0" collapsed="false">
      <c r="A76" s="1" t="n">
        <v>44986</v>
      </c>
      <c r="B76" s="2" t="n">
        <v>23288.6082608695</v>
      </c>
      <c r="C76" s="2" t="n">
        <v>1</v>
      </c>
      <c r="D76" s="2" t="n">
        <v>1</v>
      </c>
      <c r="E76" s="2" t="n">
        <v>0</v>
      </c>
      <c r="F76" s="2" t="n">
        <v>1</v>
      </c>
      <c r="G76" s="2" t="n">
        <f aca="false">0.45 * D76 + 0.2 * C76 + 0.2 * E76 + 0.15 *F76</f>
        <v>0.8</v>
      </c>
      <c r="H76" s="2" t="n">
        <v>1</v>
      </c>
      <c r="I76" s="2" t="n">
        <v>1</v>
      </c>
      <c r="J76" s="2" t="n">
        <v>1</v>
      </c>
      <c r="K76" s="2" t="n">
        <v>1</v>
      </c>
      <c r="L76" s="2" t="n">
        <v>0</v>
      </c>
      <c r="M76" s="2" t="n">
        <f aca="false">0.35 * H76 + 0.25*J76 + 0.2*L76 + 0.15 *K76 + 0.05*I76</f>
        <v>0.8</v>
      </c>
      <c r="N76" s="2" t="n">
        <v>0</v>
      </c>
      <c r="O76" s="2" t="n">
        <v>1</v>
      </c>
      <c r="P76" s="2" t="n">
        <v>0</v>
      </c>
      <c r="Q76" s="2" t="n">
        <v>0</v>
      </c>
      <c r="R76" s="2" t="n">
        <v>1</v>
      </c>
      <c r="S76" s="3" t="n">
        <f aca="false">0.4 * O76 + 0.25*R76 + 0.2 *N76 + 0.15*P76</f>
        <v>0.65</v>
      </c>
      <c r="T76" s="3" t="n">
        <f aca="false">G76*M76</f>
        <v>0.64</v>
      </c>
      <c r="U76" s="3" t="n">
        <f aca="false">G76*S76</f>
        <v>0.52</v>
      </c>
      <c r="V76" s="3" t="n">
        <f aca="false">M76*S76</f>
        <v>0.52</v>
      </c>
      <c r="W76" s="3" t="n">
        <f aca="false">G76*M76*S76</f>
        <v>0.416</v>
      </c>
    </row>
    <row r="77" customFormat="false" ht="13.8" hidden="false" customHeight="false" outlineLevel="0" collapsed="false">
      <c r="A77" s="1" t="n">
        <v>45017</v>
      </c>
      <c r="B77" s="2" t="n">
        <v>23770.7995</v>
      </c>
      <c r="C77" s="2" t="n">
        <v>1</v>
      </c>
      <c r="D77" s="2" t="n">
        <v>1</v>
      </c>
      <c r="E77" s="2" t="n">
        <v>0</v>
      </c>
      <c r="F77" s="2" t="n">
        <v>1</v>
      </c>
      <c r="G77" s="2" t="n">
        <f aca="false">0.45 * D77 + 0.2 * C77 + 0.2 * E77 + 0.15 *F77</f>
        <v>0.8</v>
      </c>
      <c r="H77" s="2" t="n">
        <v>1</v>
      </c>
      <c r="I77" s="2" t="n">
        <v>1</v>
      </c>
      <c r="J77" s="2" t="n">
        <v>1</v>
      </c>
      <c r="K77" s="2" t="n">
        <v>1</v>
      </c>
      <c r="L77" s="2" t="n">
        <v>0</v>
      </c>
      <c r="M77" s="2" t="n">
        <f aca="false">0.35 * H77 + 0.25*J77 + 0.2*L77 + 0.15 *K77 + 0.05*I77</f>
        <v>0.8</v>
      </c>
      <c r="N77" s="2" t="n">
        <v>0</v>
      </c>
      <c r="O77" s="2" t="n">
        <v>1</v>
      </c>
      <c r="P77" s="2" t="n">
        <v>0</v>
      </c>
      <c r="Q77" s="2" t="n">
        <v>0</v>
      </c>
      <c r="R77" s="2" t="n">
        <v>1</v>
      </c>
      <c r="S77" s="3" t="n">
        <f aca="false">0.4 * O77 + 0.25*R77 + 0.2 *N77 + 0.15*P77</f>
        <v>0.65</v>
      </c>
      <c r="T77" s="3" t="n">
        <f aca="false">G77*M77</f>
        <v>0.64</v>
      </c>
      <c r="U77" s="3" t="n">
        <f aca="false">G77*S77</f>
        <v>0.52</v>
      </c>
      <c r="V77" s="3" t="n">
        <f aca="false">M77*S77</f>
        <v>0.52</v>
      </c>
      <c r="W77" s="3" t="n">
        <f aca="false">G77*M77*S77</f>
        <v>0.416</v>
      </c>
    </row>
    <row r="78" customFormat="false" ht="13.8" hidden="false" customHeight="false" outlineLevel="0" collapsed="false">
      <c r="A78" s="1" t="n">
        <v>45047</v>
      </c>
      <c r="B78" s="2" t="n">
        <v>22134.7826086956</v>
      </c>
      <c r="C78" s="2" t="n">
        <v>1</v>
      </c>
      <c r="D78" s="2" t="n">
        <v>1</v>
      </c>
      <c r="E78" s="2" t="n">
        <v>0</v>
      </c>
      <c r="F78" s="2" t="n">
        <v>1</v>
      </c>
      <c r="G78" s="2" t="n">
        <f aca="false">0.45 * D78 + 0.2 * C78 + 0.2 * E78 + 0.15 *F78</f>
        <v>0.8</v>
      </c>
      <c r="H78" s="2" t="n">
        <v>1</v>
      </c>
      <c r="I78" s="2" t="n">
        <v>1</v>
      </c>
      <c r="J78" s="2" t="n">
        <v>1</v>
      </c>
      <c r="K78" s="2" t="n">
        <v>1</v>
      </c>
      <c r="L78" s="2" t="n">
        <v>0</v>
      </c>
      <c r="M78" s="2" t="n">
        <f aca="false">0.35 * H78 + 0.25*J78 + 0.2*L78 + 0.15 *K78 + 0.05*I78</f>
        <v>0.8</v>
      </c>
      <c r="N78" s="2" t="n">
        <v>0</v>
      </c>
      <c r="O78" s="2" t="n">
        <v>1</v>
      </c>
      <c r="P78" s="2" t="n">
        <v>0</v>
      </c>
      <c r="Q78" s="2" t="n">
        <v>0</v>
      </c>
      <c r="R78" s="2" t="n">
        <v>1</v>
      </c>
      <c r="S78" s="3" t="n">
        <f aca="false">0.4 * O78 + 0.25*R78 + 0.2 *N78 + 0.15*P78</f>
        <v>0.65</v>
      </c>
      <c r="T78" s="3" t="n">
        <f aca="false">G78*M78</f>
        <v>0.64</v>
      </c>
      <c r="U78" s="3" t="n">
        <f aca="false">G78*S78</f>
        <v>0.52</v>
      </c>
      <c r="V78" s="3" t="n">
        <f aca="false">M78*S78</f>
        <v>0.52</v>
      </c>
      <c r="W78" s="3" t="n">
        <f aca="false">G78*M78*S78</f>
        <v>0.416</v>
      </c>
    </row>
    <row r="79" customFormat="false" ht="13.8" hidden="false" customHeight="false" outlineLevel="0" collapsed="false">
      <c r="A79" s="1" t="n">
        <v>45078</v>
      </c>
      <c r="B79" s="2" t="n">
        <v>21233.2781818181</v>
      </c>
      <c r="C79" s="2" t="n">
        <v>1</v>
      </c>
      <c r="D79" s="2" t="n">
        <v>1</v>
      </c>
      <c r="E79" s="2" t="n">
        <v>0</v>
      </c>
      <c r="F79" s="2" t="n">
        <v>1</v>
      </c>
      <c r="G79" s="2" t="n">
        <f aca="false">0.45 * D79 + 0.2 * C79 + 0.2 * E79 + 0.15 *F79</f>
        <v>0.8</v>
      </c>
      <c r="H79" s="2" t="n">
        <v>1</v>
      </c>
      <c r="I79" s="2" t="n">
        <v>1</v>
      </c>
      <c r="J79" s="2" t="n">
        <v>1</v>
      </c>
      <c r="K79" s="2" t="n">
        <v>1</v>
      </c>
      <c r="L79" s="2" t="n">
        <v>0</v>
      </c>
      <c r="M79" s="2" t="n">
        <f aca="false">0.35 * H79 + 0.25*J79 + 0.2*L79 + 0.15 *K79 + 0.05*I79</f>
        <v>0.8</v>
      </c>
      <c r="N79" s="2" t="n">
        <v>0</v>
      </c>
      <c r="O79" s="2" t="n">
        <v>1</v>
      </c>
      <c r="P79" s="2" t="n">
        <v>0</v>
      </c>
      <c r="Q79" s="2" t="n">
        <v>0</v>
      </c>
      <c r="R79" s="2" t="n">
        <v>1</v>
      </c>
      <c r="S79" s="3" t="n">
        <f aca="false">0.4 * O79 + 0.25*R79 + 0.2 *N79 + 0.15*P79</f>
        <v>0.65</v>
      </c>
      <c r="T79" s="3" t="n">
        <f aca="false">G79*M79</f>
        <v>0.64</v>
      </c>
      <c r="U79" s="3" t="n">
        <f aca="false">G79*S79</f>
        <v>0.52</v>
      </c>
      <c r="V79" s="3" t="n">
        <f aca="false">M79*S79</f>
        <v>0.52</v>
      </c>
      <c r="W79" s="3" t="n">
        <f aca="false">G79*M79*S79</f>
        <v>0.416</v>
      </c>
    </row>
    <row r="80" customFormat="false" ht="13.8" hidden="false" customHeight="false" outlineLevel="0" collapsed="false">
      <c r="A80" s="1" t="n">
        <v>45108</v>
      </c>
      <c r="B80" s="2" t="n">
        <v>21091.2619047619</v>
      </c>
      <c r="C80" s="2" t="n">
        <v>1</v>
      </c>
      <c r="D80" s="2" t="n">
        <v>1</v>
      </c>
      <c r="E80" s="2" t="n">
        <v>0</v>
      </c>
      <c r="F80" s="2" t="n">
        <v>1</v>
      </c>
      <c r="G80" s="2" t="n">
        <f aca="false">0.45 * D80 + 0.2 * C80 + 0.2 * E80 + 0.15 *F80</f>
        <v>0.8</v>
      </c>
      <c r="H80" s="2" t="n">
        <v>1</v>
      </c>
      <c r="I80" s="2" t="n">
        <v>1</v>
      </c>
      <c r="J80" s="2" t="n">
        <v>1</v>
      </c>
      <c r="K80" s="2" t="n">
        <v>1</v>
      </c>
      <c r="L80" s="2" t="n">
        <v>0</v>
      </c>
      <c r="M80" s="2" t="n">
        <f aca="false">0.35 * H80 + 0.25*J80 + 0.2*L80 + 0.15 *K80 + 0.05*I80</f>
        <v>0.8</v>
      </c>
      <c r="N80" s="2" t="n">
        <v>0</v>
      </c>
      <c r="O80" s="2" t="n">
        <v>1</v>
      </c>
      <c r="P80" s="2" t="n">
        <v>0</v>
      </c>
      <c r="Q80" s="2" t="n">
        <v>0</v>
      </c>
      <c r="R80" s="2" t="n">
        <v>1</v>
      </c>
      <c r="S80" s="3" t="n">
        <f aca="false">0.4 * O80 + 0.25*R80 + 0.2 *N80 + 0.15*P80</f>
        <v>0.65</v>
      </c>
      <c r="T80" s="3" t="n">
        <f aca="false">G80*M80</f>
        <v>0.64</v>
      </c>
      <c r="U80" s="3" t="n">
        <f aca="false">G80*S80</f>
        <v>0.52</v>
      </c>
      <c r="V80" s="3" t="n">
        <f aca="false">M80*S80</f>
        <v>0.52</v>
      </c>
      <c r="W80" s="3" t="n">
        <f aca="false">G80*M80*S80</f>
        <v>0.416</v>
      </c>
    </row>
    <row r="81" customFormat="false" ht="13.8" hidden="false" customHeight="false" outlineLevel="0" collapsed="false">
      <c r="A81" s="1" t="n">
        <v>45139</v>
      </c>
      <c r="B81" s="2" t="n">
        <v>20446.3582608695</v>
      </c>
      <c r="C81" s="2" t="n">
        <v>1</v>
      </c>
      <c r="D81" s="2" t="n">
        <v>1</v>
      </c>
      <c r="E81" s="2" t="n">
        <v>0</v>
      </c>
      <c r="F81" s="2" t="n">
        <v>1</v>
      </c>
      <c r="G81" s="2" t="n">
        <f aca="false">0.45 * D81 + 0.2 * C81 + 0.2 * E81 + 0.15 *F81</f>
        <v>0.8</v>
      </c>
      <c r="H81" s="2" t="n">
        <v>1</v>
      </c>
      <c r="I81" s="2" t="n">
        <v>1</v>
      </c>
      <c r="J81" s="2" t="n">
        <v>1</v>
      </c>
      <c r="K81" s="2" t="n">
        <v>1</v>
      </c>
      <c r="L81" s="2" t="n">
        <v>0</v>
      </c>
      <c r="M81" s="2" t="n">
        <f aca="false">0.35 * H81 + 0.25*J81 + 0.2*L81 + 0.15 *K81 + 0.05*I81</f>
        <v>0.8</v>
      </c>
      <c r="N81" s="2" t="n">
        <v>0</v>
      </c>
      <c r="O81" s="2" t="n">
        <v>1</v>
      </c>
      <c r="P81" s="2" t="n">
        <v>0</v>
      </c>
      <c r="Q81" s="2" t="n">
        <v>0</v>
      </c>
      <c r="R81" s="2" t="n">
        <v>1</v>
      </c>
      <c r="S81" s="3" t="n">
        <f aca="false">0.4 * O81 + 0.25*R81 + 0.2 *N81 + 0.15*P81</f>
        <v>0.65</v>
      </c>
      <c r="T81" s="3" t="n">
        <f aca="false">G81*M81</f>
        <v>0.64</v>
      </c>
      <c r="U81" s="3" t="n">
        <f aca="false">G81*S81</f>
        <v>0.52</v>
      </c>
      <c r="V81" s="3" t="n">
        <f aca="false">M81*S81</f>
        <v>0.52</v>
      </c>
      <c r="W81" s="3" t="n">
        <f aca="false">G81*M81*S81</f>
        <v>0.416</v>
      </c>
    </row>
    <row r="82" customFormat="false" ht="13.8" hidden="false" customHeight="false" outlineLevel="0" collapsed="false">
      <c r="A82" s="1" t="n">
        <v>45170</v>
      </c>
      <c r="B82" s="2" t="n">
        <v>19644.6428571428</v>
      </c>
      <c r="C82" s="2" t="n">
        <v>1</v>
      </c>
      <c r="D82" s="2" t="n">
        <v>1</v>
      </c>
      <c r="E82" s="2" t="n">
        <v>0</v>
      </c>
      <c r="F82" s="2" t="n">
        <v>1</v>
      </c>
      <c r="G82" s="2" t="n">
        <f aca="false">0.45 * D82 + 0.2 * C82 + 0.2 * E82 + 0.15 *F82</f>
        <v>0.8</v>
      </c>
      <c r="H82" s="2" t="n">
        <v>1</v>
      </c>
      <c r="I82" s="2" t="n">
        <v>1</v>
      </c>
      <c r="J82" s="2" t="n">
        <v>1</v>
      </c>
      <c r="K82" s="2" t="n">
        <v>1</v>
      </c>
      <c r="L82" s="2" t="n">
        <v>0</v>
      </c>
      <c r="M82" s="2" t="n">
        <f aca="false">0.35 * H82 + 0.25*J82 + 0.2*L82 + 0.15 *K82 + 0.05*I82</f>
        <v>0.8</v>
      </c>
      <c r="N82" s="2" t="n">
        <v>0</v>
      </c>
      <c r="O82" s="2" t="n">
        <v>1</v>
      </c>
      <c r="P82" s="2" t="n">
        <v>0</v>
      </c>
      <c r="Q82" s="2" t="n">
        <v>0</v>
      </c>
      <c r="R82" s="2" t="n">
        <v>1</v>
      </c>
      <c r="S82" s="3" t="n">
        <f aca="false">0.4 * O82 + 0.25*R82 + 0.2 *N82 + 0.15*P82</f>
        <v>0.65</v>
      </c>
      <c r="T82" s="3" t="n">
        <f aca="false">G82*M82</f>
        <v>0.64</v>
      </c>
      <c r="U82" s="3" t="n">
        <f aca="false">G82*S82</f>
        <v>0.52</v>
      </c>
      <c r="V82" s="3" t="n">
        <f aca="false">M82*S82</f>
        <v>0.52</v>
      </c>
      <c r="W82" s="3" t="n">
        <f aca="false">G82*M82*S82</f>
        <v>0.416</v>
      </c>
    </row>
    <row r="83" customFormat="false" ht="13.8" hidden="false" customHeight="false" outlineLevel="0" collapsed="false">
      <c r="A83" s="1" t="n">
        <v>45200</v>
      </c>
      <c r="B83" s="2" t="n">
        <v>18264.0354545454</v>
      </c>
      <c r="C83" s="2" t="n">
        <v>1</v>
      </c>
      <c r="D83" s="2" t="n">
        <v>1</v>
      </c>
      <c r="E83" s="2" t="n">
        <v>1</v>
      </c>
      <c r="F83" s="2" t="n">
        <v>1</v>
      </c>
      <c r="G83" s="2" t="n">
        <f aca="false">0.45 * D83 + 0.2 * C83 + 0.2 * E83 + 0.15 *F83</f>
        <v>1</v>
      </c>
      <c r="H83" s="2" t="n">
        <v>1</v>
      </c>
      <c r="I83" s="2" t="n">
        <v>1</v>
      </c>
      <c r="J83" s="2" t="n">
        <v>1</v>
      </c>
      <c r="K83" s="2" t="n">
        <v>1</v>
      </c>
      <c r="L83" s="2" t="n">
        <v>0</v>
      </c>
      <c r="M83" s="2" t="n">
        <f aca="false">0.35 * H83 + 0.25*J83 + 0.2*L83 + 0.15 *K83 + 0.05*I83</f>
        <v>0.8</v>
      </c>
      <c r="N83" s="2" t="n">
        <v>0</v>
      </c>
      <c r="O83" s="2" t="n">
        <v>1</v>
      </c>
      <c r="P83" s="2" t="n">
        <v>0</v>
      </c>
      <c r="Q83" s="2" t="n">
        <v>0</v>
      </c>
      <c r="R83" s="2" t="n">
        <v>1</v>
      </c>
      <c r="S83" s="3" t="n">
        <f aca="false">0.4 * O83 + 0.25*R83 + 0.2 *N83 + 0.15*P83</f>
        <v>0.65</v>
      </c>
      <c r="T83" s="3" t="n">
        <f aca="false">G83*M83</f>
        <v>0.8</v>
      </c>
      <c r="U83" s="3" t="n">
        <f aca="false">G83*S83</f>
        <v>0.65</v>
      </c>
      <c r="V83" s="3" t="n">
        <f aca="false">M83*S83</f>
        <v>0.52</v>
      </c>
      <c r="W83" s="3" t="n">
        <f aca="false">G83*M83*S83</f>
        <v>0.52</v>
      </c>
    </row>
    <row r="84" customFormat="false" ht="13.8" hidden="false" customHeight="false" outlineLevel="0" collapsed="false">
      <c r="A84" s="1" t="n">
        <v>45231</v>
      </c>
      <c r="B84" s="2" t="n">
        <v>17027.3636363636</v>
      </c>
      <c r="C84" s="2" t="n">
        <v>1</v>
      </c>
      <c r="D84" s="2" t="n">
        <v>1</v>
      </c>
      <c r="E84" s="2" t="n">
        <v>1</v>
      </c>
      <c r="F84" s="2" t="n">
        <v>1</v>
      </c>
      <c r="G84" s="2" t="n">
        <f aca="false">0.45 * D84 + 0.2 * C84 + 0.2 * E84 + 0.15 *F84</f>
        <v>1</v>
      </c>
      <c r="H84" s="2" t="n">
        <v>1</v>
      </c>
      <c r="I84" s="2" t="n">
        <v>1</v>
      </c>
      <c r="J84" s="2" t="n">
        <v>1</v>
      </c>
      <c r="K84" s="2" t="n">
        <v>1</v>
      </c>
      <c r="L84" s="2" t="n">
        <v>0</v>
      </c>
      <c r="M84" s="2" t="n">
        <f aca="false">0.35 * H84 + 0.25*J84 + 0.2*L84 + 0.15 *K84 + 0.05*I84</f>
        <v>0.8</v>
      </c>
      <c r="N84" s="2" t="n">
        <v>0</v>
      </c>
      <c r="O84" s="2" t="n">
        <v>1</v>
      </c>
      <c r="P84" s="2" t="n">
        <v>0</v>
      </c>
      <c r="Q84" s="2" t="n">
        <v>0</v>
      </c>
      <c r="R84" s="2" t="n">
        <v>1</v>
      </c>
      <c r="S84" s="3" t="n">
        <f aca="false">0.4 * O84 + 0.25*R84 + 0.2 *N84 + 0.15*P84</f>
        <v>0.65</v>
      </c>
      <c r="T84" s="3" t="n">
        <f aca="false">G84*M84</f>
        <v>0.8</v>
      </c>
      <c r="U84" s="3" t="n">
        <f aca="false">G84*S84</f>
        <v>0.65</v>
      </c>
      <c r="V84" s="3" t="n">
        <f aca="false">M84*S84</f>
        <v>0.52</v>
      </c>
      <c r="W84" s="3" t="n">
        <f aca="false">G84*M84*S84</f>
        <v>0.52</v>
      </c>
    </row>
    <row r="85" customFormat="false" ht="13.8" hidden="false" customHeight="false" outlineLevel="0" collapsed="false">
      <c r="A85" s="1" t="n">
        <v>45261</v>
      </c>
      <c r="B85" s="2" t="n">
        <v>16443.5238095238</v>
      </c>
      <c r="C85" s="2" t="n">
        <v>1</v>
      </c>
      <c r="D85" s="2" t="n">
        <v>1</v>
      </c>
      <c r="E85" s="2" t="n">
        <v>1</v>
      </c>
      <c r="F85" s="2" t="n">
        <v>1</v>
      </c>
      <c r="G85" s="2" t="n">
        <f aca="false">0.45 * D85 + 0.2 * C85 + 0.2 * E85 + 0.15 *F85</f>
        <v>1</v>
      </c>
      <c r="H85" s="2" t="n">
        <v>1</v>
      </c>
      <c r="I85" s="2" t="n">
        <v>1</v>
      </c>
      <c r="J85" s="2" t="n">
        <v>1</v>
      </c>
      <c r="K85" s="2" t="n">
        <v>1</v>
      </c>
      <c r="L85" s="2" t="n">
        <v>0</v>
      </c>
      <c r="M85" s="2" t="n">
        <f aca="false">0.35 * H85 + 0.25*J85 + 0.2*L85 + 0.15 *K85 + 0.05*I85</f>
        <v>0.8</v>
      </c>
      <c r="N85" s="2" t="n">
        <v>0</v>
      </c>
      <c r="O85" s="2" t="n">
        <v>1</v>
      </c>
      <c r="P85" s="2" t="n">
        <v>0</v>
      </c>
      <c r="Q85" s="2" t="n">
        <v>0</v>
      </c>
      <c r="R85" s="2" t="n">
        <v>1</v>
      </c>
      <c r="S85" s="3" t="n">
        <f aca="false">0.4 * O85 + 0.25*R85 + 0.2 *N85 + 0.15*P85</f>
        <v>0.65</v>
      </c>
      <c r="T85" s="3" t="n">
        <f aca="false">G85*M85</f>
        <v>0.8</v>
      </c>
      <c r="U85" s="3" t="n">
        <f aca="false">G85*S85</f>
        <v>0.65</v>
      </c>
      <c r="V85" s="3" t="n">
        <f aca="false">M85*S85</f>
        <v>0.52</v>
      </c>
      <c r="W85" s="3" t="n">
        <f aca="false">G85*M85*S85</f>
        <v>0.52</v>
      </c>
    </row>
    <row r="86" customFormat="false" ht="13.8" hidden="false" customHeight="false" outlineLevel="0" collapsed="false">
      <c r="A86" s="1" t="n">
        <v>45292</v>
      </c>
      <c r="B86" s="2" t="n">
        <v>16111.6669565217</v>
      </c>
      <c r="C86" s="2" t="n">
        <v>1</v>
      </c>
      <c r="D86" s="2" t="n">
        <v>1</v>
      </c>
      <c r="E86" s="2" t="n">
        <v>1</v>
      </c>
      <c r="F86" s="2" t="n">
        <v>1</v>
      </c>
      <c r="G86" s="2" t="n">
        <f aca="false">0.45 * D86 + 0.2 * C86 + 0.2 * E86 + 0.15 *F86</f>
        <v>1</v>
      </c>
      <c r="H86" s="2" t="n">
        <v>1</v>
      </c>
      <c r="I86" s="2" t="n">
        <v>1</v>
      </c>
      <c r="J86" s="2" t="n">
        <v>1</v>
      </c>
      <c r="K86" s="2" t="n">
        <v>1</v>
      </c>
      <c r="L86" s="2" t="n">
        <v>1</v>
      </c>
      <c r="M86" s="2" t="n">
        <f aca="false">0.35 * H86 + 0.25*J86 + 0.2*L86 + 0.15 *K86 + 0.05*I86</f>
        <v>1</v>
      </c>
      <c r="N86" s="2" t="n">
        <v>0</v>
      </c>
      <c r="O86" s="2" t="n">
        <v>1</v>
      </c>
      <c r="P86" s="2" t="n">
        <v>0</v>
      </c>
      <c r="Q86" s="2" t="n">
        <v>0</v>
      </c>
      <c r="R86" s="2" t="n">
        <v>1</v>
      </c>
      <c r="S86" s="3" t="n">
        <f aca="false">0.4 * O86 + 0.25*R86 + 0.2 *N86 + 0.15*P86</f>
        <v>0.65</v>
      </c>
      <c r="T86" s="3" t="n">
        <f aca="false">G86*M86</f>
        <v>1</v>
      </c>
      <c r="U86" s="3" t="n">
        <f aca="false">G86*S86</f>
        <v>0.65</v>
      </c>
      <c r="V86" s="3" t="n">
        <f aca="false">M86*S86</f>
        <v>0.65</v>
      </c>
      <c r="W86" s="3" t="n">
        <f aca="false">G86*M86*S86</f>
        <v>0.65</v>
      </c>
    </row>
    <row r="87" customFormat="false" ht="13.8" hidden="false" customHeight="false" outlineLevel="0" collapsed="false">
      <c r="A87" s="1" t="n">
        <v>45323</v>
      </c>
      <c r="B87" s="2" t="n">
        <v>16338.4642857142</v>
      </c>
      <c r="C87" s="2" t="n">
        <v>1</v>
      </c>
      <c r="D87" s="2" t="n">
        <v>1</v>
      </c>
      <c r="E87" s="2" t="n">
        <v>1</v>
      </c>
      <c r="F87" s="2" t="n">
        <v>1</v>
      </c>
      <c r="G87" s="2" t="n">
        <f aca="false">0.45 * D87 + 0.2 * C87 + 0.2 * E87 + 0.15 *F87</f>
        <v>1</v>
      </c>
      <c r="H87" s="2" t="n">
        <v>1</v>
      </c>
      <c r="I87" s="2" t="n">
        <v>1</v>
      </c>
      <c r="J87" s="2" t="n">
        <v>1</v>
      </c>
      <c r="K87" s="2" t="n">
        <v>1</v>
      </c>
      <c r="L87" s="2" t="n">
        <v>1</v>
      </c>
      <c r="M87" s="2" t="n">
        <f aca="false">0.35 * H87 + 0.25*J87 + 0.2*L87 + 0.15 *K87 + 0.05*I87</f>
        <v>1</v>
      </c>
      <c r="N87" s="2" t="n">
        <v>0</v>
      </c>
      <c r="O87" s="2" t="n">
        <v>1</v>
      </c>
      <c r="P87" s="2" t="n">
        <v>0</v>
      </c>
      <c r="Q87" s="2" t="n">
        <v>0</v>
      </c>
      <c r="R87" s="2" t="n">
        <v>1</v>
      </c>
      <c r="S87" s="3" t="n">
        <f aca="false">0.4 * O87 + 0.25*R87 + 0.2 *N87 + 0.15*P87</f>
        <v>0.65</v>
      </c>
      <c r="T87" s="3" t="n">
        <f aca="false">G87*M87</f>
        <v>1</v>
      </c>
      <c r="U87" s="3" t="n">
        <f aca="false">G87*S87</f>
        <v>0.65</v>
      </c>
      <c r="V87" s="3" t="n">
        <f aca="false">M87*S87</f>
        <v>0.65</v>
      </c>
      <c r="W87" s="3" t="n">
        <f aca="false">G87*M87*S87</f>
        <v>0.65</v>
      </c>
    </row>
    <row r="88" customFormat="false" ht="13.8" hidden="false" customHeight="false" outlineLevel="0" collapsed="false">
      <c r="A88" s="1" t="n">
        <v>45352</v>
      </c>
      <c r="B88" s="2" t="n">
        <v>17397.3604761904</v>
      </c>
      <c r="C88" s="2" t="n">
        <v>1</v>
      </c>
      <c r="D88" s="2" t="n">
        <v>1</v>
      </c>
      <c r="E88" s="2" t="n">
        <v>1</v>
      </c>
      <c r="F88" s="2" t="n">
        <v>1</v>
      </c>
      <c r="G88" s="2" t="n">
        <f aca="false">0.45 * D88 + 0.2 * C88 + 0.2 * E88 + 0.15 *F88</f>
        <v>1</v>
      </c>
      <c r="H88" s="2" t="n">
        <v>1</v>
      </c>
      <c r="I88" s="2" t="n">
        <v>1</v>
      </c>
      <c r="J88" s="2" t="n">
        <v>1</v>
      </c>
      <c r="K88" s="2" t="n">
        <v>1</v>
      </c>
      <c r="L88" s="2" t="n">
        <v>1</v>
      </c>
      <c r="M88" s="2" t="n">
        <f aca="false">0.35 * H88 + 0.25*J88 + 0.2*L88 + 0.15 *K88 + 0.05*I88</f>
        <v>1</v>
      </c>
      <c r="N88" s="2" t="n">
        <v>0</v>
      </c>
      <c r="O88" s="2" t="n">
        <v>1</v>
      </c>
      <c r="P88" s="2" t="n">
        <v>0</v>
      </c>
      <c r="Q88" s="2" t="n">
        <v>0</v>
      </c>
      <c r="R88" s="2" t="n">
        <v>1</v>
      </c>
      <c r="S88" s="3" t="n">
        <f aca="false">0.4 * O88 + 0.25*R88 + 0.2 *N88 + 0.15*P88</f>
        <v>0.65</v>
      </c>
      <c r="T88" s="3" t="n">
        <f aca="false">G88*M88</f>
        <v>1</v>
      </c>
      <c r="U88" s="3" t="n">
        <f aca="false">G88*S88</f>
        <v>0.65</v>
      </c>
      <c r="V88" s="3" t="n">
        <f aca="false">M88*S88</f>
        <v>0.65</v>
      </c>
      <c r="W88" s="3" t="n">
        <f aca="false">G88*M88*S88</f>
        <v>0.65</v>
      </c>
    </row>
    <row r="89" customFormat="false" ht="13.8" hidden="false" customHeight="false" outlineLevel="0" collapsed="false">
      <c r="A89" s="1" t="n">
        <v>45383</v>
      </c>
      <c r="B89" s="2" t="n">
        <v>18132.364090909</v>
      </c>
      <c r="C89" s="2" t="n">
        <v>1</v>
      </c>
      <c r="D89" s="2" t="n">
        <v>1</v>
      </c>
      <c r="E89" s="2" t="n">
        <v>1</v>
      </c>
      <c r="F89" s="2" t="n">
        <v>1</v>
      </c>
      <c r="G89" s="2" t="n">
        <f aca="false">0.45 * D89 + 0.2 * C89 + 0.2 * E89 + 0.15 *F89</f>
        <v>1</v>
      </c>
      <c r="H89" s="2" t="n">
        <v>1</v>
      </c>
      <c r="I89" s="2" t="n">
        <v>1</v>
      </c>
      <c r="J89" s="2" t="n">
        <v>1</v>
      </c>
      <c r="K89" s="2" t="n">
        <v>1</v>
      </c>
      <c r="L89" s="2" t="n">
        <v>1</v>
      </c>
      <c r="M89" s="2" t="n">
        <f aca="false">0.35 * H89 + 0.25*J89 + 0.2*L89 + 0.15 *K89 + 0.05*I89</f>
        <v>1</v>
      </c>
      <c r="N89" s="2" t="n">
        <v>0</v>
      </c>
      <c r="O89" s="2" t="n">
        <v>1</v>
      </c>
      <c r="P89" s="2" t="n">
        <v>0</v>
      </c>
      <c r="Q89" s="2" t="n">
        <v>0</v>
      </c>
      <c r="R89" s="2" t="n">
        <v>1</v>
      </c>
      <c r="S89" s="3" t="n">
        <f aca="false">0.4 * O89 + 0.25*R89 + 0.2 *N89 + 0.15*P89</f>
        <v>0.65</v>
      </c>
      <c r="T89" s="3" t="n">
        <f aca="false">G89*M89</f>
        <v>1</v>
      </c>
      <c r="U89" s="3" t="n">
        <f aca="false">G89*S89</f>
        <v>0.65</v>
      </c>
      <c r="V89" s="3" t="n">
        <f aca="false">M89*S89</f>
        <v>0.65</v>
      </c>
      <c r="W89" s="3" t="n">
        <f aca="false">G89*M89*S89</f>
        <v>0.65</v>
      </c>
    </row>
    <row r="90" customFormat="false" ht="13.8" hidden="false" customHeight="false" outlineLevel="0" collapsed="false">
      <c r="A90" s="1" t="n">
        <v>45413</v>
      </c>
      <c r="B90" s="2" t="n">
        <v>19576.5465217391</v>
      </c>
      <c r="C90" s="2" t="n">
        <v>1</v>
      </c>
      <c r="D90" s="2" t="n">
        <v>1</v>
      </c>
      <c r="E90" s="2" t="n">
        <v>1</v>
      </c>
      <c r="F90" s="2" t="n">
        <v>1</v>
      </c>
      <c r="G90" s="2" t="n">
        <f aca="false">0.45 * D90 + 0.2 * C90 + 0.2 * E90 + 0.15 *F90</f>
        <v>1</v>
      </c>
      <c r="H90" s="2" t="n">
        <v>1</v>
      </c>
      <c r="I90" s="2" t="n">
        <v>1</v>
      </c>
      <c r="J90" s="2" t="n">
        <v>1</v>
      </c>
      <c r="K90" s="2" t="n">
        <v>1</v>
      </c>
      <c r="L90" s="2" t="n">
        <v>1</v>
      </c>
      <c r="M90" s="2" t="n">
        <f aca="false">0.35 * H90 + 0.25*J90 + 0.2*L90 + 0.15 *K90 + 0.05*I90</f>
        <v>1</v>
      </c>
      <c r="N90" s="2" t="n">
        <v>0</v>
      </c>
      <c r="O90" s="2" t="n">
        <v>1</v>
      </c>
      <c r="P90" s="2" t="n">
        <v>0</v>
      </c>
      <c r="Q90" s="2" t="n">
        <v>0</v>
      </c>
      <c r="R90" s="2" t="n">
        <v>1</v>
      </c>
      <c r="S90" s="3" t="n">
        <f aca="false">0.4 * O90 + 0.25*R90 + 0.2 *N90 + 0.15*P90</f>
        <v>0.65</v>
      </c>
      <c r="T90" s="3" t="n">
        <f aca="false">G90*M90</f>
        <v>1</v>
      </c>
      <c r="U90" s="3" t="n">
        <f aca="false">G90*S90</f>
        <v>0.65</v>
      </c>
      <c r="V90" s="3" t="n">
        <f aca="false">M90*S90</f>
        <v>0.65</v>
      </c>
      <c r="W90" s="3" t="n">
        <f aca="false">G90*M90*S90</f>
        <v>0.65</v>
      </c>
    </row>
    <row r="91" customFormat="false" ht="13.8" hidden="false" customHeight="false" outlineLevel="0" collapsed="false">
      <c r="A91" s="1" t="n">
        <v>45444</v>
      </c>
      <c r="B91" s="2" t="n">
        <v>17498.0075</v>
      </c>
      <c r="C91" s="2" t="n">
        <v>1</v>
      </c>
      <c r="D91" s="2" t="n">
        <v>1</v>
      </c>
      <c r="E91" s="2" t="n">
        <v>1</v>
      </c>
      <c r="F91" s="2" t="n">
        <v>1</v>
      </c>
      <c r="G91" s="2" t="n">
        <f aca="false">0.45 * D91 + 0.2 * C91 + 0.2 * E91 + 0.15 *F91</f>
        <v>1</v>
      </c>
      <c r="H91" s="2" t="n">
        <v>1</v>
      </c>
      <c r="I91" s="2" t="n">
        <v>1</v>
      </c>
      <c r="J91" s="2" t="n">
        <v>1</v>
      </c>
      <c r="K91" s="2" t="n">
        <v>1</v>
      </c>
      <c r="L91" s="2" t="n">
        <v>1</v>
      </c>
      <c r="M91" s="2" t="n">
        <f aca="false">0.35 * H91 + 0.25*J91 + 0.2*L91 + 0.15 *K91 + 0.05*I91</f>
        <v>1</v>
      </c>
      <c r="N91" s="2" t="n">
        <v>0</v>
      </c>
      <c r="O91" s="2" t="n">
        <v>1</v>
      </c>
      <c r="P91" s="2" t="n">
        <v>0</v>
      </c>
      <c r="Q91" s="2" t="n">
        <v>0</v>
      </c>
      <c r="R91" s="2" t="n">
        <v>1</v>
      </c>
      <c r="S91" s="3" t="n">
        <f aca="false">0.4 * O91 + 0.25*R91 + 0.2 *N91 + 0.15*P91</f>
        <v>0.65</v>
      </c>
      <c r="T91" s="3" t="n">
        <f aca="false">G91*M91</f>
        <v>1</v>
      </c>
      <c r="U91" s="3" t="n">
        <f aca="false">G91*S91</f>
        <v>0.65</v>
      </c>
      <c r="V91" s="3" t="n">
        <f aca="false">M91*S91</f>
        <v>0.65</v>
      </c>
      <c r="W91" s="3" t="n">
        <f aca="false">G91*M91*S91</f>
        <v>0.65</v>
      </c>
    </row>
    <row r="92" customFormat="false" ht="13.8" hidden="false" customHeight="false" outlineLevel="0" collapsed="false">
      <c r="A92" s="1" t="n">
        <v>45474</v>
      </c>
      <c r="B92" s="2" t="n">
        <v>16334.8752173913</v>
      </c>
      <c r="C92" s="2" t="n">
        <v>1</v>
      </c>
      <c r="D92" s="2" t="n">
        <v>1</v>
      </c>
      <c r="E92" s="2" t="n">
        <v>1</v>
      </c>
      <c r="F92" s="2" t="n">
        <v>1</v>
      </c>
      <c r="G92" s="2" t="n">
        <f aca="false">0.45 * D92 + 0.2 * C92 + 0.2 * E92 + 0.15 *F92</f>
        <v>1</v>
      </c>
      <c r="H92" s="2" t="n">
        <v>1</v>
      </c>
      <c r="I92" s="2" t="n">
        <v>1</v>
      </c>
      <c r="J92" s="2" t="n">
        <v>1</v>
      </c>
      <c r="K92" s="2" t="n">
        <v>1</v>
      </c>
      <c r="L92" s="2" t="n">
        <v>1</v>
      </c>
      <c r="M92" s="2" t="n">
        <f aca="false">0.35 * H92 + 0.25*J92 + 0.2*L92 + 0.15 *K92 + 0.05*I92</f>
        <v>1</v>
      </c>
      <c r="N92" s="2" t="n">
        <v>0</v>
      </c>
      <c r="O92" s="2" t="n">
        <v>1</v>
      </c>
      <c r="P92" s="2" t="n">
        <v>0</v>
      </c>
      <c r="Q92" s="2" t="n">
        <v>0</v>
      </c>
      <c r="R92" s="2" t="n">
        <v>1</v>
      </c>
      <c r="S92" s="3" t="n">
        <f aca="false">0.4 * O92 + 0.25*R92 + 0.2 *N92 + 0.15*P92</f>
        <v>0.65</v>
      </c>
      <c r="T92" s="3" t="n">
        <f aca="false">G92*M92</f>
        <v>1</v>
      </c>
      <c r="U92" s="3" t="n">
        <f aca="false">G92*S92</f>
        <v>0.65</v>
      </c>
      <c r="V92" s="3" t="n">
        <f aca="false">M92*S92</f>
        <v>0.65</v>
      </c>
      <c r="W92" s="3" t="n">
        <f aca="false">G92*M92*S92</f>
        <v>0.65</v>
      </c>
    </row>
    <row r="93" customFormat="false" ht="13.8" hidden="false" customHeight="false" outlineLevel="0" collapsed="false">
      <c r="A93" s="1" t="n">
        <v>45505</v>
      </c>
      <c r="B93" s="2" t="n">
        <v>16303.2877272727</v>
      </c>
      <c r="C93" s="2" t="n">
        <v>1</v>
      </c>
      <c r="D93" s="2" t="n">
        <v>1</v>
      </c>
      <c r="E93" s="2" t="n">
        <v>1</v>
      </c>
      <c r="F93" s="2" t="n">
        <v>1</v>
      </c>
      <c r="G93" s="2" t="n">
        <f aca="false">0.45 * D93 + 0.2 * C93 + 0.2 * E93 + 0.15 *F93</f>
        <v>1</v>
      </c>
      <c r="H93" s="2" t="n">
        <v>1</v>
      </c>
      <c r="I93" s="2" t="n">
        <v>1</v>
      </c>
      <c r="J93" s="2" t="n">
        <v>1</v>
      </c>
      <c r="K93" s="2" t="n">
        <v>1</v>
      </c>
      <c r="L93" s="2" t="n">
        <v>1</v>
      </c>
      <c r="M93" s="2" t="n">
        <f aca="false">0.35 * H93 + 0.25*J93 + 0.2*L93 + 0.15 *K93 + 0.05*I93</f>
        <v>1</v>
      </c>
      <c r="N93" s="2" t="n">
        <v>0</v>
      </c>
      <c r="O93" s="2" t="n">
        <v>1</v>
      </c>
      <c r="P93" s="2" t="n">
        <v>0</v>
      </c>
      <c r="Q93" s="2" t="n">
        <v>0</v>
      </c>
      <c r="R93" s="2" t="n">
        <v>1</v>
      </c>
      <c r="S93" s="3" t="n">
        <f aca="false">0.4 * O93 + 0.25*R93 + 0.2 *N93 + 0.15*P93</f>
        <v>0.65</v>
      </c>
      <c r="T93" s="3" t="n">
        <f aca="false">G93*M93</f>
        <v>1</v>
      </c>
      <c r="U93" s="3" t="n">
        <f aca="false">G93*S93</f>
        <v>0.65</v>
      </c>
      <c r="V93" s="3" t="n">
        <f aca="false">M93*S93</f>
        <v>0.65</v>
      </c>
      <c r="W93" s="3" t="n">
        <f aca="false">G93*M93*S93</f>
        <v>0.65</v>
      </c>
    </row>
    <row r="94" customFormat="false" ht="13.8" hidden="false" customHeight="false" outlineLevel="0" collapsed="false">
      <c r="A94" s="1" t="n">
        <v>45536</v>
      </c>
      <c r="B94" s="2" t="n">
        <v>16167.6776190476</v>
      </c>
      <c r="C94" s="2" t="n">
        <v>1</v>
      </c>
      <c r="D94" s="2" t="n">
        <v>1</v>
      </c>
      <c r="E94" s="2" t="n">
        <v>1</v>
      </c>
      <c r="F94" s="2" t="n">
        <v>1</v>
      </c>
      <c r="G94" s="2" t="n">
        <f aca="false">0.45 * D94 + 0.2 * C94 + 0.2 * E94 + 0.15 *F94</f>
        <v>1</v>
      </c>
      <c r="H94" s="2" t="n">
        <v>1</v>
      </c>
      <c r="I94" s="2" t="n">
        <v>1</v>
      </c>
      <c r="J94" s="2" t="n">
        <v>1</v>
      </c>
      <c r="K94" s="2" t="n">
        <v>1</v>
      </c>
      <c r="L94" s="2" t="n">
        <v>1</v>
      </c>
      <c r="M94" s="2" t="n">
        <f aca="false">0.35 * H94 + 0.25*J94 + 0.2*L94 + 0.15 *K94 + 0.05*I94</f>
        <v>1</v>
      </c>
      <c r="N94" s="2" t="n">
        <v>0</v>
      </c>
      <c r="O94" s="2" t="n">
        <v>1</v>
      </c>
      <c r="P94" s="2" t="n">
        <v>0</v>
      </c>
      <c r="Q94" s="2" t="n">
        <v>0</v>
      </c>
      <c r="R94" s="2" t="n">
        <v>1</v>
      </c>
      <c r="S94" s="3" t="n">
        <f aca="false">0.4 * O94 + 0.25*R94 + 0.2 *N94 + 0.15*P94</f>
        <v>0.65</v>
      </c>
      <c r="T94" s="3" t="n">
        <f aca="false">G94*M94</f>
        <v>1</v>
      </c>
      <c r="U94" s="3" t="n">
        <f aca="false">G94*S94</f>
        <v>0.65</v>
      </c>
      <c r="V94" s="3" t="n">
        <f aca="false">M94*S94</f>
        <v>0.65</v>
      </c>
      <c r="W94" s="3" t="n">
        <f aca="false">G94*M94*S94</f>
        <v>0.65</v>
      </c>
    </row>
    <row r="95" customFormat="false" ht="13.8" hidden="false" customHeight="false" outlineLevel="0" collapsed="false">
      <c r="A95" s="1" t="n">
        <v>45566</v>
      </c>
      <c r="B95" s="2" t="n">
        <v>16765.8034782608</v>
      </c>
      <c r="C95" s="2" t="n">
        <v>1</v>
      </c>
      <c r="D95" s="2" t="n">
        <v>1</v>
      </c>
      <c r="E95" s="2" t="n">
        <v>1</v>
      </c>
      <c r="F95" s="2" t="n">
        <v>1</v>
      </c>
      <c r="G95" s="2" t="n">
        <f aca="false">0.45 * D95 + 0.2 * C95 + 0.2 * E95 + 0.15 *F95</f>
        <v>1</v>
      </c>
      <c r="H95" s="2" t="n">
        <v>1</v>
      </c>
      <c r="I95" s="2" t="n">
        <v>1</v>
      </c>
      <c r="J95" s="2" t="n">
        <v>1</v>
      </c>
      <c r="K95" s="2" t="n">
        <v>1</v>
      </c>
      <c r="L95" s="2" t="n">
        <v>1</v>
      </c>
      <c r="M95" s="2" t="n">
        <f aca="false">0.35 * H95 + 0.25*J95 + 0.2*L95 + 0.15 *K95 + 0.05*I95</f>
        <v>1</v>
      </c>
      <c r="N95" s="2" t="n">
        <v>0</v>
      </c>
      <c r="O95" s="2" t="n">
        <v>1</v>
      </c>
      <c r="P95" s="2" t="n">
        <v>0</v>
      </c>
      <c r="Q95" s="2" t="n">
        <v>0</v>
      </c>
      <c r="R95" s="2" t="n">
        <v>1</v>
      </c>
      <c r="S95" s="3" t="n">
        <f aca="false">0.4 * O95 + 0.25*R95 + 0.2 *N95 + 0.15*P95</f>
        <v>0.65</v>
      </c>
      <c r="T95" s="3" t="n">
        <f aca="false">G95*M95</f>
        <v>1</v>
      </c>
      <c r="U95" s="3" t="n">
        <f aca="false">G95*S95</f>
        <v>0.65</v>
      </c>
      <c r="V95" s="3" t="n">
        <f aca="false">M95*S95</f>
        <v>0.65</v>
      </c>
      <c r="W95" s="3" t="n">
        <f aca="false">G95*M95*S95</f>
        <v>0.65</v>
      </c>
    </row>
    <row r="96" customFormat="false" ht="13.8" hidden="false" customHeight="false" outlineLevel="0" collapsed="false">
      <c r="A96" s="1" t="n">
        <v>45597</v>
      </c>
      <c r="B96" s="2" t="n">
        <v>15726.9476190476</v>
      </c>
      <c r="C96" s="2" t="n">
        <v>1</v>
      </c>
      <c r="D96" s="2" t="n">
        <v>1</v>
      </c>
      <c r="E96" s="2" t="n">
        <v>1</v>
      </c>
      <c r="F96" s="2" t="n">
        <v>1</v>
      </c>
      <c r="G96" s="2" t="n">
        <f aca="false">0.45 * D96 + 0.2 * C96 + 0.2 * E96 + 0.15 *F96</f>
        <v>1</v>
      </c>
      <c r="H96" s="2" t="n">
        <v>1</v>
      </c>
      <c r="I96" s="2" t="n">
        <v>1</v>
      </c>
      <c r="J96" s="2" t="n">
        <v>1</v>
      </c>
      <c r="K96" s="2" t="n">
        <v>1</v>
      </c>
      <c r="L96" s="2" t="n">
        <v>1</v>
      </c>
      <c r="M96" s="2" t="n">
        <f aca="false">0.35 * H96 + 0.25*J96 + 0.2*L96 + 0.15 *K96 + 0.05*I96</f>
        <v>1</v>
      </c>
      <c r="N96" s="2" t="n">
        <v>0</v>
      </c>
      <c r="O96" s="2" t="n">
        <v>1</v>
      </c>
      <c r="P96" s="2" t="n">
        <v>0</v>
      </c>
      <c r="Q96" s="2" t="n">
        <v>0</v>
      </c>
      <c r="R96" s="2" t="n">
        <v>1</v>
      </c>
      <c r="S96" s="3" t="n">
        <f aca="false">0.4 * O96 + 0.25*R96 + 0.2 *N96 + 0.15*P96</f>
        <v>0.65</v>
      </c>
      <c r="T96" s="3" t="n">
        <f aca="false">G96*M96</f>
        <v>1</v>
      </c>
      <c r="U96" s="3" t="n">
        <f aca="false">G96*S96</f>
        <v>0.65</v>
      </c>
      <c r="V96" s="3" t="n">
        <f aca="false">M96*S96</f>
        <v>0.65</v>
      </c>
      <c r="W96" s="3" t="n">
        <f aca="false">G96*M96*S96</f>
        <v>0.65</v>
      </c>
    </row>
    <row r="97" customFormat="false" ht="13.8" hidden="false" customHeight="false" outlineLevel="0" collapsed="false">
      <c r="A97" s="1" t="n">
        <v>45627</v>
      </c>
      <c r="B97" s="2" t="n">
        <v>15438.6563636363</v>
      </c>
      <c r="C97" s="2" t="n">
        <v>1</v>
      </c>
      <c r="D97" s="2" t="n">
        <v>1</v>
      </c>
      <c r="E97" s="2" t="n">
        <v>1</v>
      </c>
      <c r="F97" s="2" t="n">
        <v>1</v>
      </c>
      <c r="G97" s="2" t="n">
        <f aca="false">0.45 * D97 + 0.2 * C97 + 0.2 * E97 + 0.15 *F97</f>
        <v>1</v>
      </c>
      <c r="H97" s="2" t="n">
        <v>1</v>
      </c>
      <c r="I97" s="2" t="n">
        <v>1</v>
      </c>
      <c r="J97" s="2" t="n">
        <v>1</v>
      </c>
      <c r="K97" s="2" t="n">
        <v>1</v>
      </c>
      <c r="L97" s="2" t="n">
        <v>1</v>
      </c>
      <c r="M97" s="2" t="n">
        <f aca="false">0.35 * H97 + 0.25*J97 + 0.2*L97 + 0.15 *K97 + 0.05*I97</f>
        <v>1</v>
      </c>
      <c r="N97" s="2" t="n">
        <v>0</v>
      </c>
      <c r="O97" s="2" t="n">
        <v>1</v>
      </c>
      <c r="P97" s="2" t="n">
        <v>0</v>
      </c>
      <c r="Q97" s="2" t="n">
        <v>0</v>
      </c>
      <c r="R97" s="2" t="n">
        <v>1</v>
      </c>
      <c r="S97" s="3" t="n">
        <f aca="false">0.4 * O97 + 0.25*R97 + 0.2 *N97 + 0.15*P97</f>
        <v>0.65</v>
      </c>
      <c r="T97" s="3" t="n">
        <f aca="false">G97*M97</f>
        <v>1</v>
      </c>
      <c r="U97" s="3" t="n">
        <f aca="false">G97*S97</f>
        <v>0.65</v>
      </c>
      <c r="V97" s="3" t="n">
        <f aca="false">M97*S97</f>
        <v>0.65</v>
      </c>
      <c r="W97" s="3" t="n">
        <f aca="false">G97*M97*S97</f>
        <v>0.65</v>
      </c>
    </row>
    <row r="98" customFormat="false" ht="13.8" hidden="false" customHeight="false" outlineLevel="0" collapsed="false">
      <c r="A98" s="1" t="n">
        <v>45658</v>
      </c>
      <c r="B98" s="2" t="n">
        <v>15374.0608695652</v>
      </c>
      <c r="C98" s="2" t="n">
        <v>1</v>
      </c>
      <c r="D98" s="2" t="n">
        <v>1</v>
      </c>
      <c r="E98" s="2" t="n">
        <v>1</v>
      </c>
      <c r="F98" s="2" t="n">
        <v>1</v>
      </c>
      <c r="G98" s="2" t="n">
        <f aca="false">0.45 * D98 + 0.2 * C98 + 0.2 * E98 + 0.15 *F98</f>
        <v>1</v>
      </c>
      <c r="H98" s="2" t="n">
        <v>1</v>
      </c>
      <c r="I98" s="2" t="n">
        <v>1</v>
      </c>
      <c r="J98" s="2" t="n">
        <v>1</v>
      </c>
      <c r="K98" s="2" t="n">
        <v>1</v>
      </c>
      <c r="L98" s="2" t="n">
        <v>1</v>
      </c>
      <c r="M98" s="2" t="n">
        <f aca="false">0.35 * H98 + 0.25*J98 + 0.2*L98 + 0.15 *K98 + 0.05*I98</f>
        <v>1</v>
      </c>
      <c r="N98" s="2" t="n">
        <v>0</v>
      </c>
      <c r="O98" s="2" t="n">
        <v>1</v>
      </c>
      <c r="P98" s="2" t="n">
        <v>0</v>
      </c>
      <c r="Q98" s="2" t="n">
        <v>0</v>
      </c>
      <c r="R98" s="2" t="n">
        <v>1</v>
      </c>
      <c r="S98" s="3" t="n">
        <f aca="false">0.4 * O98 + 0.25*R98 + 0.2 *N98 + 0.15*P98</f>
        <v>0.65</v>
      </c>
      <c r="T98" s="3" t="n">
        <f aca="false">G98*M98</f>
        <v>1</v>
      </c>
      <c r="U98" s="3" t="n">
        <f aca="false">G98*S98</f>
        <v>0.65</v>
      </c>
      <c r="V98" s="3" t="n">
        <f aca="false">M98*S98</f>
        <v>0.65</v>
      </c>
      <c r="W98" s="3" t="n">
        <f aca="false">G98*M98*S98</f>
        <v>0.65</v>
      </c>
    </row>
    <row r="99" customFormat="false" ht="13.8" hidden="false" customHeight="false" outlineLevel="0" collapsed="false">
      <c r="A99" s="1" t="n">
        <v>45689</v>
      </c>
      <c r="B99" s="2" t="n">
        <v>15287.031</v>
      </c>
      <c r="C99" s="2" t="n">
        <v>1</v>
      </c>
      <c r="D99" s="2" t="n">
        <v>1</v>
      </c>
      <c r="E99" s="2" t="n">
        <v>1</v>
      </c>
      <c r="F99" s="2" t="n">
        <v>1</v>
      </c>
      <c r="G99" s="2" t="n">
        <f aca="false">0.45 * D99 + 0.2 * C99 + 0.2 * E99 + 0.15 *F99</f>
        <v>1</v>
      </c>
      <c r="H99" s="2" t="n">
        <v>1</v>
      </c>
      <c r="I99" s="2" t="n">
        <v>1</v>
      </c>
      <c r="J99" s="2" t="n">
        <v>1</v>
      </c>
      <c r="K99" s="2" t="n">
        <v>1</v>
      </c>
      <c r="L99" s="2" t="n">
        <v>1</v>
      </c>
      <c r="M99" s="2" t="n">
        <f aca="false">0.35 * H99 + 0.25*J99 + 0.2*L99 + 0.15 *K99 + 0.05*I99</f>
        <v>1</v>
      </c>
      <c r="N99" s="2" t="n">
        <v>0</v>
      </c>
      <c r="O99" s="2" t="n">
        <v>1</v>
      </c>
      <c r="P99" s="2" t="n">
        <v>0</v>
      </c>
      <c r="Q99" s="2" t="n">
        <v>0</v>
      </c>
      <c r="R99" s="2" t="n">
        <v>1</v>
      </c>
      <c r="S99" s="3" t="n">
        <f aca="false">0.4 * O99 + 0.25*R99 + 0.2 *N99 + 0.15*P99</f>
        <v>0.65</v>
      </c>
      <c r="T99" s="3" t="n">
        <f aca="false">G99*M99</f>
        <v>1</v>
      </c>
      <c r="U99" s="3" t="n">
        <f aca="false">G99*S99</f>
        <v>0.65</v>
      </c>
      <c r="V99" s="3" t="n">
        <f aca="false">M99*S99</f>
        <v>0.65</v>
      </c>
      <c r="W99" s="3" t="n">
        <f aca="false">G99*M99*S99</f>
        <v>0.65</v>
      </c>
    </row>
    <row r="100" customFormat="false" ht="13.8" hidden="false" customHeight="false" outlineLevel="0" collapsed="false">
      <c r="A100" s="1" t="n">
        <v>45717</v>
      </c>
      <c r="B100" s="2" t="n">
        <v>16048.2019047619</v>
      </c>
      <c r="C100" s="2" t="n">
        <v>1</v>
      </c>
      <c r="D100" s="2" t="n">
        <v>1</v>
      </c>
      <c r="E100" s="2" t="n">
        <v>1</v>
      </c>
      <c r="F100" s="2" t="n">
        <v>1</v>
      </c>
      <c r="G100" s="2" t="n">
        <f aca="false">0.45 * D100 + 0.2 * C100 + 0.2 * E100 + 0.15 *F100</f>
        <v>1</v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1</v>
      </c>
      <c r="M100" s="2" t="n">
        <f aca="false">0.35 * H100 + 0.25*J100 + 0.2*L100 + 0.15 *K100 + 0.05*I100</f>
        <v>1</v>
      </c>
      <c r="N100" s="2" t="n">
        <v>0</v>
      </c>
      <c r="O100" s="2" t="n">
        <v>1</v>
      </c>
      <c r="P100" s="2" t="n">
        <v>0</v>
      </c>
      <c r="Q100" s="2" t="n">
        <v>0</v>
      </c>
      <c r="R100" s="2" t="n">
        <v>1</v>
      </c>
      <c r="S100" s="3" t="n">
        <f aca="false">0.4 * O100 + 0.25*R100 + 0.2 *N100 + 0.15*P100</f>
        <v>0.65</v>
      </c>
      <c r="T100" s="3" t="n">
        <f aca="false">G100*M100</f>
        <v>1</v>
      </c>
      <c r="U100" s="3" t="n">
        <f aca="false">G100*S100</f>
        <v>0.65</v>
      </c>
      <c r="V100" s="3" t="n">
        <f aca="false">M100*S100</f>
        <v>0.65</v>
      </c>
      <c r="W100" s="3" t="n">
        <f aca="false">G100*M100*S100</f>
        <v>0.65</v>
      </c>
    </row>
    <row r="101" customFormat="false" ht="13.8" hidden="false" customHeight="false" outlineLevel="0" collapsed="false">
      <c r="A101" s="1" t="n">
        <v>45748</v>
      </c>
      <c r="B101" s="2" t="n">
        <v>15146.0022727272</v>
      </c>
      <c r="C101" s="2" t="n">
        <v>1</v>
      </c>
      <c r="D101" s="2" t="n">
        <v>1</v>
      </c>
      <c r="E101" s="2" t="n">
        <v>1</v>
      </c>
      <c r="F101" s="2" t="n">
        <v>1</v>
      </c>
      <c r="G101" s="2" t="n">
        <f aca="false">0.45 * D101 + 0.2 * C101 + 0.2 * E101 + 0.15 *F101</f>
        <v>1</v>
      </c>
      <c r="H101" s="2" t="n">
        <v>1</v>
      </c>
      <c r="I101" s="2" t="n">
        <v>1</v>
      </c>
      <c r="J101" s="2" t="n">
        <v>1</v>
      </c>
      <c r="K101" s="2" t="n">
        <v>1</v>
      </c>
      <c r="L101" s="2" t="n">
        <v>1</v>
      </c>
      <c r="M101" s="2" t="n">
        <f aca="false">0.35 * H101 + 0.25*J101 + 0.2*L101 + 0.15 *K101 + 0.05*I101</f>
        <v>1</v>
      </c>
      <c r="N101" s="2" t="n">
        <v>0</v>
      </c>
      <c r="O101" s="2" t="n">
        <v>1</v>
      </c>
      <c r="P101" s="2" t="n">
        <v>0</v>
      </c>
      <c r="Q101" s="2" t="n">
        <v>0</v>
      </c>
      <c r="R101" s="2" t="n">
        <v>1</v>
      </c>
      <c r="S101" s="3" t="n">
        <f aca="false">0.4 * O101 + 0.25*R101 + 0.2 *N101 + 0.15*P101</f>
        <v>0.65</v>
      </c>
      <c r="T101" s="3" t="n">
        <f aca="false">G101*M101</f>
        <v>1</v>
      </c>
      <c r="U101" s="3" t="n">
        <f aca="false">G101*S101</f>
        <v>0.65</v>
      </c>
      <c r="V101" s="3" t="n">
        <f aca="false">M101*S101</f>
        <v>0.65</v>
      </c>
      <c r="W101" s="3" t="n">
        <f aca="false">G101*M101*S101</f>
        <v>0.65</v>
      </c>
    </row>
    <row r="102" customFormat="false" ht="13.8" hidden="false" customHeight="false" outlineLevel="0" collapsed="false">
      <c r="A102" s="1" t="n">
        <v>45778</v>
      </c>
      <c r="B102" s="2" t="n">
        <v>15350.4031818181</v>
      </c>
      <c r="C102" s="2" t="n">
        <v>1</v>
      </c>
      <c r="D102" s="2" t="n">
        <v>1</v>
      </c>
      <c r="E102" s="2" t="n">
        <v>1</v>
      </c>
      <c r="F102" s="2" t="n">
        <v>1</v>
      </c>
      <c r="G102" s="2" t="n">
        <f aca="false">0.45 * D102 + 0.2 * C102 + 0.2 * E102 + 0.15 *F102</f>
        <v>1</v>
      </c>
      <c r="H102" s="2" t="n">
        <v>1</v>
      </c>
      <c r="I102" s="2" t="n">
        <v>1</v>
      </c>
      <c r="J102" s="2" t="n">
        <v>1</v>
      </c>
      <c r="K102" s="2" t="n">
        <v>1</v>
      </c>
      <c r="L102" s="2" t="n">
        <v>1</v>
      </c>
      <c r="M102" s="2" t="n">
        <f aca="false">0.35 * H102 + 0.25*J102 + 0.2*L102 + 0.15 *K102 + 0.05*I102</f>
        <v>1</v>
      </c>
      <c r="N102" s="2" t="n">
        <v>0</v>
      </c>
      <c r="O102" s="2" t="n">
        <v>1</v>
      </c>
      <c r="P102" s="2" t="n">
        <v>0</v>
      </c>
      <c r="Q102" s="2" t="n">
        <v>0</v>
      </c>
      <c r="R102" s="2" t="n">
        <v>1</v>
      </c>
      <c r="S102" s="3" t="n">
        <f aca="false">0.4 * O102 + 0.25*R102 + 0.2 *N102 + 0.15*P102</f>
        <v>0.65</v>
      </c>
      <c r="T102" s="3" t="n">
        <f aca="false">G102*M102</f>
        <v>1</v>
      </c>
      <c r="U102" s="3" t="n">
        <f aca="false">G102*S102</f>
        <v>0.65</v>
      </c>
      <c r="V102" s="3" t="n">
        <f aca="false">M102*S102</f>
        <v>0.65</v>
      </c>
      <c r="W102" s="3" t="n">
        <f aca="false">G102*M102*S102</f>
        <v>0.65</v>
      </c>
    </row>
    <row r="103" customFormat="false" ht="13.8" hidden="false" customHeight="false" outlineLevel="0" collapsed="false">
      <c r="A103" s="1" t="n">
        <v>45809</v>
      </c>
      <c r="B103" s="2" t="n">
        <v>15003.1076190476</v>
      </c>
      <c r="C103" s="2" t="n">
        <v>1</v>
      </c>
      <c r="D103" s="2" t="n">
        <v>1</v>
      </c>
      <c r="E103" s="2" t="n">
        <v>1</v>
      </c>
      <c r="F103" s="2" t="n">
        <v>1</v>
      </c>
      <c r="G103" s="2" t="n">
        <f aca="false">0.45 * D103 + 0.2 * C103 + 0.2 * E103 + 0.15 *F103</f>
        <v>1</v>
      </c>
      <c r="H103" s="2" t="n">
        <v>1</v>
      </c>
      <c r="I103" s="2" t="n">
        <v>1</v>
      </c>
      <c r="J103" s="2" t="n">
        <v>1</v>
      </c>
      <c r="K103" s="2" t="n">
        <v>1</v>
      </c>
      <c r="L103" s="2" t="n">
        <v>1</v>
      </c>
      <c r="M103" s="2" t="n">
        <f aca="false">0.35 * H103 + 0.25*J103 + 0.2*L103 + 0.15 *K103 + 0.05*I103</f>
        <v>1</v>
      </c>
      <c r="N103" s="2" t="n">
        <v>0</v>
      </c>
      <c r="O103" s="2" t="n">
        <v>1</v>
      </c>
      <c r="P103" s="2" t="n">
        <v>0</v>
      </c>
      <c r="Q103" s="2" t="n">
        <v>0</v>
      </c>
      <c r="R103" s="2" t="n">
        <v>1</v>
      </c>
      <c r="S103" s="3" t="n">
        <f aca="false">0.4 * O103 + 0.25*R103 + 0.2 *N103 + 0.15*P103</f>
        <v>0.65</v>
      </c>
      <c r="T103" s="3" t="n">
        <f aca="false">G103*M103</f>
        <v>1</v>
      </c>
      <c r="U103" s="3" t="n">
        <f aca="false">G103*S103</f>
        <v>0.65</v>
      </c>
      <c r="V103" s="3" t="n">
        <f aca="false">M103*S103</f>
        <v>0.65</v>
      </c>
      <c r="W103" s="3" t="n">
        <f aca="false">G103*M103*S103</f>
        <v>0.65</v>
      </c>
    </row>
    <row r="104" customFormat="false" ht="13.8" hidden="false" customHeight="false" outlineLevel="0" collapsed="false">
      <c r="A104" s="1" t="n">
        <v>45839</v>
      </c>
      <c r="B104" s="2" t="n">
        <v>15034.0186956521</v>
      </c>
      <c r="C104" s="2" t="n">
        <v>1</v>
      </c>
      <c r="D104" s="2" t="n">
        <v>1</v>
      </c>
      <c r="E104" s="2" t="n">
        <v>1</v>
      </c>
      <c r="F104" s="2" t="n">
        <v>1</v>
      </c>
      <c r="G104" s="2" t="n">
        <f aca="false">0.45 * D104 + 0.2 * C104 + 0.2 * E104 + 0.15 *F104</f>
        <v>1</v>
      </c>
      <c r="H104" s="2" t="n">
        <v>1</v>
      </c>
      <c r="I104" s="2" t="n">
        <v>1</v>
      </c>
      <c r="J104" s="2" t="n">
        <v>1</v>
      </c>
      <c r="K104" s="2" t="n">
        <v>1</v>
      </c>
      <c r="L104" s="2" t="n">
        <v>1</v>
      </c>
      <c r="M104" s="2" t="n">
        <f aca="false">0.35 * H104 + 0.25*J104 + 0.2*L104 + 0.15 *K104 + 0.05*I104</f>
        <v>1</v>
      </c>
      <c r="N104" s="2" t="n">
        <v>0</v>
      </c>
      <c r="O104" s="2" t="n">
        <v>1</v>
      </c>
      <c r="P104" s="2" t="n">
        <v>0</v>
      </c>
      <c r="Q104" s="2" t="n">
        <v>0</v>
      </c>
      <c r="R104" s="2" t="n">
        <v>1</v>
      </c>
      <c r="S104" s="3" t="n">
        <f aca="false">0.4 * O104 + 0.25*R104 + 0.2 *N104 + 0.15*P104</f>
        <v>0.65</v>
      </c>
      <c r="T104" s="3" t="n">
        <f aca="false">G104*M104</f>
        <v>1</v>
      </c>
      <c r="U104" s="3" t="n">
        <f aca="false">G104*S104</f>
        <v>0.65</v>
      </c>
      <c r="V104" s="3" t="n">
        <f aca="false">M104*S104</f>
        <v>0.65</v>
      </c>
      <c r="W104" s="3" t="n">
        <f aca="false">G104*M104*S104</f>
        <v>0.65</v>
      </c>
    </row>
    <row r="105" customFormat="false" ht="13.8" hidden="false" customHeight="false" outlineLevel="0" collapsed="false">
      <c r="A105" s="1" t="n">
        <v>45870</v>
      </c>
      <c r="B105" s="2" t="n">
        <v>14948.0566666666</v>
      </c>
      <c r="C105" s="2" t="n">
        <v>1</v>
      </c>
      <c r="D105" s="2" t="n">
        <v>1</v>
      </c>
      <c r="E105" s="2" t="n">
        <v>1</v>
      </c>
      <c r="F105" s="2" t="n">
        <v>1</v>
      </c>
      <c r="G105" s="2" t="n">
        <f aca="false">0.45 * D105 + 0.2 * C105 + 0.2 * E105 + 0.15 *F105</f>
        <v>1</v>
      </c>
      <c r="H105" s="2" t="n">
        <v>1</v>
      </c>
      <c r="I105" s="2" t="n">
        <v>1</v>
      </c>
      <c r="J105" s="2" t="n">
        <v>1</v>
      </c>
      <c r="K105" s="2" t="n">
        <v>1</v>
      </c>
      <c r="L105" s="2" t="n">
        <v>1</v>
      </c>
      <c r="M105" s="2" t="n">
        <f aca="false">0.35 * H105 + 0.25*J105 + 0.2*L105 + 0.15 *K105 + 0.05*I105</f>
        <v>1</v>
      </c>
      <c r="N105" s="2" t="n">
        <v>0</v>
      </c>
      <c r="O105" s="2" t="n">
        <v>1</v>
      </c>
      <c r="P105" s="2" t="n">
        <v>0</v>
      </c>
      <c r="Q105" s="2" t="n">
        <v>0</v>
      </c>
      <c r="R105" s="2" t="n">
        <v>1</v>
      </c>
      <c r="S105" s="3" t="n">
        <f aca="false">0.4 * O105 + 0.25*R105 + 0.2 *N105 + 0.15*P105</f>
        <v>0.65</v>
      </c>
      <c r="T105" s="3" t="n">
        <f aca="false">G105*M105</f>
        <v>1</v>
      </c>
      <c r="U105" s="3" t="n">
        <f aca="false">G105*S105</f>
        <v>0.65</v>
      </c>
      <c r="V105" s="3" t="n">
        <f aca="false">M105*S105</f>
        <v>0.65</v>
      </c>
      <c r="W105" s="3" t="n">
        <f aca="false">G105*M105*S105</f>
        <v>0.65</v>
      </c>
    </row>
    <row r="106" customFormat="false" ht="13.8" hidden="false" customHeight="false" outlineLevel="0" collapsed="false">
      <c r="A106" s="1" t="n">
        <v>45901</v>
      </c>
      <c r="B106" s="2" t="n">
        <v>15103.1836363636</v>
      </c>
      <c r="C106" s="2" t="n">
        <v>1</v>
      </c>
      <c r="D106" s="2" t="n">
        <v>1</v>
      </c>
      <c r="E106" s="2" t="n">
        <v>1</v>
      </c>
      <c r="F106" s="2" t="n">
        <v>1</v>
      </c>
      <c r="G106" s="2" t="n">
        <f aca="false">0.45 * D106 + 0.2 * C106 + 0.2 * E106 + 0.15 *F106</f>
        <v>1</v>
      </c>
      <c r="H106" s="2" t="n">
        <v>1</v>
      </c>
      <c r="I106" s="2" t="n">
        <v>1</v>
      </c>
      <c r="J106" s="2" t="n">
        <v>1</v>
      </c>
      <c r="K106" s="2" t="n">
        <v>1</v>
      </c>
      <c r="L106" s="2" t="n">
        <v>1</v>
      </c>
      <c r="M106" s="2" t="n">
        <f aca="false">0.35 * H106 + 0.25*J106 + 0.2*L106 + 0.15 *K106 + 0.05*I106</f>
        <v>1</v>
      </c>
      <c r="N106" s="2" t="n">
        <v>0</v>
      </c>
      <c r="O106" s="2" t="n">
        <v>1</v>
      </c>
      <c r="P106" s="2" t="n">
        <v>0</v>
      </c>
      <c r="Q106" s="2" t="n">
        <v>0</v>
      </c>
      <c r="R106" s="2" t="n">
        <v>1</v>
      </c>
      <c r="S106" s="3" t="n">
        <f aca="false">0.4 * O106 + 0.25*R106 + 0.2 *N106 + 0.15*P106</f>
        <v>0.65</v>
      </c>
      <c r="T106" s="3" t="n">
        <f aca="false">G106*M106</f>
        <v>1</v>
      </c>
      <c r="U106" s="3" t="n">
        <f aca="false">G106*S106</f>
        <v>0.65</v>
      </c>
      <c r="V106" s="3" t="n">
        <f aca="false">M106*S106</f>
        <v>0.65</v>
      </c>
      <c r="W106" s="3" t="n">
        <f aca="false">G106*M106*S106</f>
        <v>0.65</v>
      </c>
    </row>
    <row r="107" customFormat="false" ht="13.8" hidden="false" customHeight="false" outlineLevel="0" collapsed="false">
      <c r="A107" s="1" t="n">
        <v>45931</v>
      </c>
      <c r="B107" s="2" t="n">
        <v>15092.114347826</v>
      </c>
      <c r="C107" s="2" t="n">
        <v>1</v>
      </c>
      <c r="D107" s="2" t="n">
        <v>1</v>
      </c>
      <c r="E107" s="2" t="n">
        <v>1</v>
      </c>
      <c r="F107" s="2" t="n">
        <v>1</v>
      </c>
      <c r="G107" s="2" t="n">
        <f aca="false">0.45 * D107 + 0.2 * C107 + 0.2 * E107 + 0.15 *F107</f>
        <v>1</v>
      </c>
      <c r="H107" s="2" t="n">
        <v>1</v>
      </c>
      <c r="I107" s="2" t="n">
        <v>1</v>
      </c>
      <c r="J107" s="2" t="n">
        <v>1</v>
      </c>
      <c r="K107" s="2" t="n">
        <v>1</v>
      </c>
      <c r="L107" s="2" t="n">
        <v>1</v>
      </c>
      <c r="M107" s="2" t="n">
        <f aca="false">0.35 * H107 + 0.25*J107 + 0.2*L107 + 0.15 *K107 + 0.05*I107</f>
        <v>1</v>
      </c>
      <c r="N107" s="2" t="n">
        <v>0</v>
      </c>
      <c r="O107" s="2" t="n">
        <v>1</v>
      </c>
      <c r="P107" s="2" t="n">
        <v>0</v>
      </c>
      <c r="Q107" s="2" t="n">
        <v>0</v>
      </c>
      <c r="R107" s="2" t="n">
        <v>1</v>
      </c>
      <c r="S107" s="3" t="n">
        <f aca="false">0.4 * O107 + 0.25*R107 + 0.2 *N107 + 0.15*P107</f>
        <v>0.65</v>
      </c>
      <c r="T107" s="3" t="n">
        <f aca="false">G107*M107</f>
        <v>1</v>
      </c>
      <c r="U107" s="3" t="n">
        <f aca="false">G107*S107</f>
        <v>0.65</v>
      </c>
      <c r="V107" s="3" t="n">
        <f aca="false">M107*S107</f>
        <v>0.65</v>
      </c>
      <c r="W107" s="3" t="n">
        <f aca="false">G107*M107*S107</f>
        <v>0.65</v>
      </c>
    </row>
    <row r="108" customFormat="false" ht="13.8" hidden="false" customHeight="false" outlineLevel="0" collapsed="false">
      <c r="A108" s="1" t="n">
        <v>45962</v>
      </c>
      <c r="B108" s="2" t="n">
        <v>14670.7685</v>
      </c>
      <c r="C108" s="2" t="n">
        <v>1</v>
      </c>
      <c r="D108" s="2" t="n">
        <v>1</v>
      </c>
      <c r="E108" s="2" t="n">
        <v>1</v>
      </c>
      <c r="F108" s="2" t="n">
        <v>1</v>
      </c>
      <c r="G108" s="2" t="n">
        <f aca="false">0.45 * D108 + 0.2 * C108 + 0.2 * E108 + 0.15 *F108</f>
        <v>1</v>
      </c>
      <c r="H108" s="2" t="n">
        <v>1</v>
      </c>
      <c r="I108" s="2" t="n">
        <v>1</v>
      </c>
      <c r="J108" s="2" t="n">
        <v>1</v>
      </c>
      <c r="K108" s="2" t="n">
        <v>1</v>
      </c>
      <c r="L108" s="2" t="n">
        <v>1</v>
      </c>
      <c r="M108" s="2" t="n">
        <f aca="false">0.35 * H108 + 0.25*J108 + 0.2*L108 + 0.15 *K108 + 0.05*I108</f>
        <v>1</v>
      </c>
      <c r="N108" s="2" t="n">
        <v>0</v>
      </c>
      <c r="O108" s="2" t="n">
        <v>1</v>
      </c>
      <c r="P108" s="2" t="n">
        <v>0</v>
      </c>
      <c r="Q108" s="2" t="n">
        <v>0</v>
      </c>
      <c r="R108" s="2" t="n">
        <v>1</v>
      </c>
      <c r="S108" s="3" t="n">
        <f aca="false">0.4 * O108 + 0.25*R108 + 0.2 *N108 + 0.15*P108</f>
        <v>0.65</v>
      </c>
      <c r="T108" s="3" t="n">
        <f aca="false">G108*M108</f>
        <v>1</v>
      </c>
      <c r="U108" s="3" t="n">
        <f aca="false">G108*S108</f>
        <v>0.65</v>
      </c>
      <c r="V108" s="3" t="n">
        <f aca="false">M108*S108</f>
        <v>0.65</v>
      </c>
      <c r="W108" s="3" t="n">
        <f aca="false">G108*M108*S108</f>
        <v>0.65</v>
      </c>
    </row>
    <row r="109" customFormat="false" ht="13.8" hidden="false" customHeight="false" outlineLevel="0" collapsed="false">
      <c r="A109" s="1" t="n">
        <v>45992</v>
      </c>
      <c r="B109" s="2" t="n">
        <v>14879.03</v>
      </c>
      <c r="C109" s="2" t="n">
        <v>1</v>
      </c>
      <c r="D109" s="2" t="n">
        <v>1</v>
      </c>
      <c r="E109" s="2" t="n">
        <v>1</v>
      </c>
      <c r="F109" s="2" t="n">
        <v>1</v>
      </c>
      <c r="G109" s="2" t="n">
        <f aca="false">0.45 * D109 + 0.2 * C109 + 0.2 * E109 + 0.15 *F109</f>
        <v>1</v>
      </c>
      <c r="H109" s="2" t="n">
        <v>1</v>
      </c>
      <c r="I109" s="2" t="n">
        <v>1</v>
      </c>
      <c r="J109" s="2" t="n">
        <v>1</v>
      </c>
      <c r="K109" s="2" t="n">
        <v>1</v>
      </c>
      <c r="L109" s="2" t="n">
        <v>1</v>
      </c>
      <c r="M109" s="2" t="n">
        <f aca="false">0.35 * H109 + 0.25*J109 + 0.2*L109 + 0.15 *K109 + 0.05*I109</f>
        <v>1</v>
      </c>
      <c r="N109" s="2" t="n">
        <v>0</v>
      </c>
      <c r="O109" s="2" t="n">
        <v>1</v>
      </c>
      <c r="P109" s="2" t="n">
        <v>0</v>
      </c>
      <c r="Q109" s="2" t="n">
        <v>0</v>
      </c>
      <c r="R109" s="2" t="n">
        <v>1</v>
      </c>
      <c r="S109" s="3" t="n">
        <f aca="false">0.4 * O109 + 0.25*R109 + 0.2 *N109 + 0.15*P109</f>
        <v>0.65</v>
      </c>
      <c r="T109" s="3" t="n">
        <f aca="false">G109*M109</f>
        <v>1</v>
      </c>
      <c r="U109" s="3" t="n">
        <f aca="false">G109*S109</f>
        <v>0.65</v>
      </c>
      <c r="V109" s="3" t="n">
        <f aca="false">M109*S109</f>
        <v>0.65</v>
      </c>
      <c r="W109" s="3" t="n">
        <f aca="false">G109*M109*S109</f>
        <v>0.65</v>
      </c>
    </row>
    <row r="110" customFormat="false" ht="13.8" hidden="false" customHeight="false" outlineLevel="0" collapsed="false">
      <c r="A110" s="1" t="n">
        <v>46023</v>
      </c>
      <c r="B110" s="2" t="n">
        <v>17710.8636363636</v>
      </c>
      <c r="C110" s="2" t="n">
        <v>1</v>
      </c>
      <c r="D110" s="2" t="n">
        <v>1</v>
      </c>
      <c r="E110" s="2" t="n">
        <v>1</v>
      </c>
      <c r="F110" s="2" t="n">
        <v>1</v>
      </c>
      <c r="G110" s="2" t="n">
        <f aca="false">0.45 * D110 + 0.2 * C110 + 0.2 * E110 + 0.15 *F110</f>
        <v>1</v>
      </c>
      <c r="H110" s="2" t="n">
        <v>1</v>
      </c>
      <c r="I110" s="2" t="n">
        <v>1</v>
      </c>
      <c r="J110" s="2" t="n">
        <v>1</v>
      </c>
      <c r="K110" s="2" t="n">
        <v>1</v>
      </c>
      <c r="L110" s="2" t="n">
        <v>1</v>
      </c>
      <c r="M110" s="2" t="n">
        <f aca="false">0.35 * H110 + 0.25*J110 + 0.2*L110 + 0.15 *K110 + 0.05*I110</f>
        <v>1</v>
      </c>
      <c r="N110" s="2" t="n">
        <v>0</v>
      </c>
      <c r="O110" s="2" t="n">
        <v>1</v>
      </c>
      <c r="P110" s="2" t="n">
        <v>0</v>
      </c>
      <c r="Q110" s="2" t="n">
        <v>0</v>
      </c>
      <c r="R110" s="2" t="n">
        <v>1</v>
      </c>
      <c r="S110" s="3" t="n">
        <f aca="false">0.4 * O110 + 0.25*R110 + 0.2 *N110 + 0.15*P110</f>
        <v>0.65</v>
      </c>
      <c r="T110" s="3" t="n">
        <f aca="false">G110*M110</f>
        <v>1</v>
      </c>
      <c r="U110" s="3" t="n">
        <f aca="false">G110*S110</f>
        <v>0.65</v>
      </c>
      <c r="V110" s="3" t="n">
        <f aca="false">M110*S110</f>
        <v>0.65</v>
      </c>
      <c r="W110" s="3" t="n">
        <f aca="false">G110*M110*S110</f>
        <v>0.65</v>
      </c>
    </row>
    <row r="111" customFormat="false" ht="13.8" hidden="false" customHeight="false" outlineLevel="0" collapsed="false">
      <c r="A111" s="1" t="n">
        <v>46054</v>
      </c>
      <c r="B111" s="2" t="n">
        <v>17173.1035</v>
      </c>
      <c r="C111" s="2" t="n">
        <v>1</v>
      </c>
      <c r="D111" s="2" t="n">
        <v>1</v>
      </c>
      <c r="E111" s="2" t="n">
        <v>1</v>
      </c>
      <c r="F111" s="2" t="n">
        <v>1</v>
      </c>
      <c r="G111" s="2" t="n">
        <f aca="false">0.45 * D111 + 0.2 * C111 + 0.2 * E111 + 0.15 *F111</f>
        <v>1</v>
      </c>
      <c r="H111" s="2" t="n">
        <v>1</v>
      </c>
      <c r="I111" s="2" t="n">
        <v>1</v>
      </c>
      <c r="J111" s="2" t="n">
        <v>1</v>
      </c>
      <c r="K111" s="2" t="n">
        <v>1</v>
      </c>
      <c r="L111" s="2" t="n">
        <v>1</v>
      </c>
      <c r="M111" s="2" t="n">
        <f aca="false">0.35 * H111 + 0.25*J111 + 0.2*L111 + 0.15 *K111 + 0.05*I111</f>
        <v>1</v>
      </c>
      <c r="N111" s="2" t="n">
        <v>0</v>
      </c>
      <c r="O111" s="2" t="n">
        <v>1</v>
      </c>
      <c r="P111" s="2" t="n">
        <v>0</v>
      </c>
      <c r="Q111" s="2" t="n">
        <v>0</v>
      </c>
      <c r="R111" s="2" t="n">
        <v>1</v>
      </c>
      <c r="S111" s="3" t="n">
        <f aca="false">0.4 * O111 + 0.25*R111 + 0.2 *N111 + 0.15*P111</f>
        <v>0.65</v>
      </c>
      <c r="T111" s="3" t="n">
        <f aca="false">G111*M111</f>
        <v>1</v>
      </c>
      <c r="U111" s="3" t="n">
        <f aca="false">G111*S111</f>
        <v>0.65</v>
      </c>
      <c r="V111" s="3" t="n">
        <f aca="false">M111*S111</f>
        <v>0.65</v>
      </c>
      <c r="W111" s="3" t="n">
        <f aca="false">G111*M111*S111</f>
        <v>0.65</v>
      </c>
    </row>
    <row r="112" customFormat="false" ht="13.8" hidden="false" customHeight="false" outlineLevel="0" collapsed="false">
      <c r="A112" s="1" t="n">
        <v>46082</v>
      </c>
      <c r="B112" s="2" t="n">
        <v>17076.2927272727</v>
      </c>
      <c r="C112" s="2" t="n">
        <v>1</v>
      </c>
      <c r="D112" s="2" t="n">
        <v>1</v>
      </c>
      <c r="E112" s="2" t="n">
        <v>1</v>
      </c>
      <c r="F112" s="2" t="n">
        <v>1</v>
      </c>
      <c r="G112" s="2" t="n">
        <f aca="false">0.45 * D112 + 0.2 * C112 + 0.2 * E112 + 0.15 *F112</f>
        <v>1</v>
      </c>
      <c r="H112" s="2" t="n">
        <v>1</v>
      </c>
      <c r="I112" s="2" t="n">
        <v>1</v>
      </c>
      <c r="J112" s="2" t="n">
        <v>1</v>
      </c>
      <c r="K112" s="2" t="n">
        <v>1</v>
      </c>
      <c r="L112" s="2" t="n">
        <v>1</v>
      </c>
      <c r="M112" s="2" t="n">
        <f aca="false">0.35 * H112 + 0.25*J112 + 0.2*L112 + 0.15 *K112 + 0.05*I112</f>
        <v>1</v>
      </c>
      <c r="N112" s="2" t="n">
        <v>0</v>
      </c>
      <c r="O112" s="2" t="n">
        <v>1</v>
      </c>
      <c r="P112" s="2" t="n">
        <v>0</v>
      </c>
      <c r="Q112" s="2" t="n">
        <v>0</v>
      </c>
      <c r="R112" s="2" t="n">
        <v>1</v>
      </c>
      <c r="S112" s="3" t="n">
        <f aca="false">0.4 * O112 + 0.25*R112 + 0.2 *N112 + 0.15*P112</f>
        <v>0.65</v>
      </c>
      <c r="T112" s="3" t="n">
        <f aca="false">G112*M112</f>
        <v>1</v>
      </c>
      <c r="U112" s="3" t="n">
        <f aca="false">G112*S112</f>
        <v>0.65</v>
      </c>
      <c r="V112" s="3" t="n">
        <f aca="false">M112*S112</f>
        <v>0.65</v>
      </c>
      <c r="W112" s="3" t="n">
        <f aca="false">G112*M112*S112</f>
        <v>0.65</v>
      </c>
    </row>
    <row r="113" customFormat="false" ht="13.8" hidden="false" customHeight="false" outlineLevel="0" collapsed="false">
      <c r="A113" s="1" t="n">
        <v>46113</v>
      </c>
      <c r="B113" s="2" t="n">
        <v>17864.9163636363</v>
      </c>
      <c r="C113" s="2" t="n">
        <v>1</v>
      </c>
      <c r="D113" s="2" t="n">
        <v>1</v>
      </c>
      <c r="E113" s="2" t="n">
        <v>1</v>
      </c>
      <c r="F113" s="2" t="n">
        <v>1</v>
      </c>
      <c r="G113" s="2" t="n">
        <f aca="false">0.45 * D113 + 0.2 * C113 + 0.2 * E113 + 0.15 *F113</f>
        <v>1</v>
      </c>
      <c r="H113" s="2" t="n">
        <v>1</v>
      </c>
      <c r="I113" s="2" t="n">
        <v>1</v>
      </c>
      <c r="J113" s="2" t="n">
        <v>1</v>
      </c>
      <c r="K113" s="2" t="n">
        <v>1</v>
      </c>
      <c r="L113" s="2" t="n">
        <v>1</v>
      </c>
      <c r="M113" s="2" t="n">
        <f aca="false">0.35 * H113 + 0.25*J113 + 0.2*L113 + 0.15 *K113 + 0.05*I113</f>
        <v>1</v>
      </c>
      <c r="N113" s="2" t="n">
        <v>0</v>
      </c>
      <c r="O113" s="2" t="n">
        <v>1</v>
      </c>
      <c r="P113" s="2" t="n">
        <v>0</v>
      </c>
      <c r="Q113" s="2" t="n">
        <v>0</v>
      </c>
      <c r="R113" s="2" t="n">
        <v>1</v>
      </c>
      <c r="S113" s="3" t="n">
        <f aca="false">0.4 * O113 + 0.25*R113 + 0.2 *N113 + 0.15*P113</f>
        <v>0.65</v>
      </c>
      <c r="T113" s="3" t="n">
        <f aca="false">G113*M113</f>
        <v>1</v>
      </c>
      <c r="U113" s="3" t="n">
        <f aca="false">G113*S113</f>
        <v>0.65</v>
      </c>
      <c r="V113" s="3" t="n">
        <f aca="false">M113*S113</f>
        <v>0.65</v>
      </c>
      <c r="W113" s="3" t="n">
        <f aca="false">G113*M113*S113</f>
        <v>0.65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2026-05-30T18:54:02Z</dcterms:created>
  <dc:creator/>
  <dc:description/>
  <dc:language>de-AT</dc:language>
  <cp:lastModifiedBy/>
  <dcterms:modified xsi:type="dcterms:W3CDTF">2026-05-31T01:06:04Z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